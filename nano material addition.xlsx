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5" r:id="rId1"/>
  </sheets>
  <calcPr calcId="124519"/>
</workbook>
</file>

<file path=xl/calcChain.xml><?xml version="1.0" encoding="utf-8"?>
<calcChain xmlns="http://schemas.openxmlformats.org/spreadsheetml/2006/main">
  <c r="Q108" i="5"/>
  <c r="Q107"/>
  <c r="Q106"/>
  <c r="Q105"/>
  <c r="Q104"/>
  <c r="Q103"/>
  <c r="Q102"/>
  <c r="Q101"/>
  <c r="Q100"/>
  <c r="Q99"/>
  <c r="M99"/>
  <c r="Q98"/>
  <c r="M98"/>
  <c r="Q97"/>
  <c r="M97"/>
  <c r="Q96"/>
  <c r="M96"/>
  <c r="Q95"/>
  <c r="M95"/>
  <c r="Q94"/>
  <c r="M94"/>
  <c r="Q93"/>
  <c r="M93"/>
  <c r="Q92"/>
  <c r="M92"/>
  <c r="Q91"/>
  <c r="M91"/>
  <c r="Q90"/>
  <c r="M90"/>
  <c r="Q89"/>
  <c r="M89"/>
  <c r="Q88"/>
  <c r="M88"/>
  <c r="Q87"/>
  <c r="M87"/>
  <c r="Q86"/>
  <c r="M86"/>
  <c r="Q85"/>
  <c r="M85"/>
  <c r="Q84"/>
  <c r="M84"/>
  <c r="Q83"/>
  <c r="M83"/>
  <c r="Q82"/>
  <c r="M82"/>
  <c r="Q81"/>
  <c r="M81"/>
  <c r="Q80"/>
  <c r="M80"/>
  <c r="Q79"/>
  <c r="M79"/>
  <c r="Q78"/>
  <c r="M78"/>
  <c r="Q77"/>
  <c r="M77"/>
  <c r="U76"/>
  <c r="Q76"/>
  <c r="M76"/>
  <c r="I76"/>
  <c r="U75"/>
  <c r="Q75"/>
  <c r="M75"/>
  <c r="I75"/>
  <c r="U74"/>
  <c r="Q74"/>
  <c r="M74"/>
  <c r="I74"/>
  <c r="U73"/>
  <c r="Q73"/>
  <c r="M73"/>
  <c r="I73"/>
  <c r="U72"/>
  <c r="Q72"/>
  <c r="M72"/>
  <c r="I72"/>
  <c r="U71"/>
  <c r="Q71"/>
  <c r="M71"/>
  <c r="I71"/>
  <c r="U70"/>
  <c r="Q70"/>
  <c r="M70"/>
  <c r="I70"/>
  <c r="U69"/>
  <c r="Q69"/>
  <c r="M69"/>
  <c r="I69"/>
  <c r="U68"/>
  <c r="Q68"/>
  <c r="M68"/>
  <c r="I68"/>
  <c r="U67"/>
  <c r="Q67"/>
  <c r="M67"/>
  <c r="I67"/>
  <c r="U66"/>
  <c r="Q66"/>
  <c r="M66"/>
  <c r="I66"/>
  <c r="U65"/>
  <c r="Q65"/>
  <c r="M65"/>
  <c r="I65"/>
  <c r="U64"/>
  <c r="Q64"/>
  <c r="M64"/>
  <c r="I64"/>
  <c r="U63"/>
  <c r="Q63"/>
  <c r="M63"/>
  <c r="I63"/>
  <c r="U62"/>
  <c r="Q62"/>
  <c r="M62"/>
  <c r="I62"/>
  <c r="U61"/>
  <c r="Q61"/>
  <c r="M61"/>
  <c r="I61"/>
  <c r="U60"/>
  <c r="Q60"/>
  <c r="M60"/>
  <c r="I60"/>
  <c r="U59"/>
  <c r="Q59"/>
  <c r="M59"/>
  <c r="I59"/>
  <c r="U58"/>
  <c r="Q58"/>
  <c r="M58"/>
  <c r="I58"/>
  <c r="U57"/>
  <c r="Q57"/>
  <c r="M57"/>
  <c r="I57"/>
  <c r="U56"/>
  <c r="Q56"/>
  <c r="M56"/>
  <c r="I56"/>
  <c r="U55"/>
  <c r="Q55"/>
  <c r="M55"/>
  <c r="I55"/>
  <c r="U54"/>
  <c r="Q54"/>
  <c r="M54"/>
  <c r="U53"/>
  <c r="Q53"/>
  <c r="M53"/>
  <c r="U52"/>
  <c r="Q52"/>
  <c r="M52"/>
  <c r="U51"/>
  <c r="Q51"/>
  <c r="M51"/>
  <c r="U50"/>
  <c r="Q50"/>
  <c r="M50"/>
  <c r="U49"/>
  <c r="Q49"/>
  <c r="M49"/>
  <c r="U48"/>
  <c r="Q48"/>
  <c r="M48"/>
  <c r="U47"/>
  <c r="Q47"/>
  <c r="M47"/>
  <c r="U46"/>
  <c r="Q46"/>
  <c r="M46"/>
  <c r="U45"/>
  <c r="Q45"/>
  <c r="M45"/>
  <c r="E45"/>
  <c r="U44"/>
  <c r="Q44"/>
  <c r="M44"/>
  <c r="I44"/>
  <c r="E44"/>
  <c r="U43"/>
  <c r="Q43"/>
  <c r="M43"/>
  <c r="I43"/>
  <c r="E43"/>
  <c r="U42"/>
  <c r="Q42"/>
  <c r="M42"/>
  <c r="I42"/>
  <c r="E42"/>
  <c r="U41"/>
  <c r="Q41"/>
  <c r="M41"/>
  <c r="I41"/>
  <c r="E41"/>
  <c r="U40"/>
  <c r="Q40"/>
  <c r="M40"/>
  <c r="I40"/>
  <c r="E40"/>
  <c r="U39"/>
  <c r="Q39"/>
  <c r="M39"/>
  <c r="I39"/>
  <c r="E39"/>
  <c r="U38"/>
  <c r="Q38"/>
  <c r="M38"/>
  <c r="I38"/>
  <c r="E38"/>
  <c r="U37"/>
  <c r="Q37"/>
  <c r="M37"/>
  <c r="I37"/>
  <c r="E37"/>
  <c r="U36"/>
  <c r="Q36"/>
  <c r="M36"/>
  <c r="I36"/>
  <c r="E36"/>
  <c r="U35"/>
  <c r="Q35"/>
  <c r="M35"/>
  <c r="I35"/>
  <c r="E35"/>
  <c r="U34"/>
  <c r="Q34"/>
  <c r="I34"/>
  <c r="E34"/>
  <c r="U33"/>
  <c r="Q33"/>
  <c r="I33"/>
  <c r="E33"/>
  <c r="U32"/>
  <c r="Q32"/>
  <c r="I32"/>
  <c r="E32"/>
  <c r="U31"/>
  <c r="Q31"/>
  <c r="I31"/>
  <c r="E31"/>
  <c r="U30"/>
  <c r="Q30"/>
  <c r="I30"/>
  <c r="E30"/>
  <c r="U29"/>
  <c r="Q29"/>
  <c r="I29"/>
  <c r="E29"/>
  <c r="U28"/>
  <c r="Q28"/>
  <c r="I28"/>
  <c r="E28"/>
  <c r="U27"/>
  <c r="Q27"/>
  <c r="I27"/>
  <c r="E27"/>
  <c r="U26"/>
  <c r="Q26"/>
  <c r="I26"/>
  <c r="E26"/>
  <c r="U25"/>
  <c r="Q25"/>
  <c r="I25"/>
  <c r="E25"/>
  <c r="U24"/>
  <c r="Q24"/>
  <c r="I24"/>
  <c r="E24"/>
  <c r="U23"/>
  <c r="Q23"/>
  <c r="I23"/>
  <c r="E23"/>
  <c r="U22"/>
  <c r="Q22"/>
  <c r="I22"/>
  <c r="E22"/>
  <c r="U21"/>
  <c r="Q21"/>
  <c r="I21"/>
  <c r="E21"/>
  <c r="U20"/>
  <c r="Q20"/>
  <c r="I20"/>
  <c r="E20"/>
  <c r="U19"/>
  <c r="Q19"/>
  <c r="I19"/>
  <c r="E19"/>
  <c r="U18"/>
  <c r="Q18"/>
  <c r="I18"/>
  <c r="E18"/>
  <c r="U17"/>
  <c r="Q17"/>
  <c r="I17"/>
  <c r="E17"/>
  <c r="U16"/>
  <c r="Q16"/>
  <c r="I16"/>
  <c r="E16"/>
  <c r="U15"/>
  <c r="Q15"/>
  <c r="I15"/>
  <c r="E15"/>
  <c r="U14"/>
  <c r="Q14"/>
  <c r="I14"/>
  <c r="E14"/>
  <c r="U13"/>
  <c r="Q13"/>
  <c r="I13"/>
  <c r="E13"/>
  <c r="U12"/>
  <c r="Q12"/>
  <c r="M12"/>
  <c r="I12"/>
  <c r="E12"/>
  <c r="U11"/>
  <c r="Q11"/>
  <c r="M11"/>
  <c r="I11"/>
  <c r="E11"/>
  <c r="U10"/>
  <c r="Q10"/>
  <c r="M10"/>
  <c r="I10"/>
  <c r="E10"/>
  <c r="U9"/>
  <c r="Q9"/>
  <c r="M9"/>
  <c r="I9"/>
  <c r="E9"/>
  <c r="U8"/>
  <c r="Q8"/>
  <c r="M8"/>
  <c r="I8"/>
  <c r="E8"/>
  <c r="U7"/>
  <c r="Q7"/>
  <c r="M7"/>
  <c r="I7"/>
  <c r="E7"/>
  <c r="U6"/>
  <c r="Q6"/>
  <c r="M6"/>
  <c r="I6"/>
  <c r="E6"/>
  <c r="U5"/>
  <c r="Q5"/>
  <c r="M5"/>
  <c r="I5"/>
  <c r="E5"/>
  <c r="U4"/>
  <c r="Q4"/>
  <c r="M4"/>
  <c r="I4"/>
  <c r="E4"/>
  <c r="U3"/>
  <c r="Q3"/>
  <c r="M3"/>
  <c r="I3"/>
  <c r="E3"/>
  <c r="U2"/>
  <c r="Q2"/>
  <c r="M2"/>
  <c r="I2"/>
  <c r="E2"/>
</calcChain>
</file>

<file path=xl/sharedStrings.xml><?xml version="1.0" encoding="utf-8"?>
<sst xmlns="http://schemas.openxmlformats.org/spreadsheetml/2006/main" count="18" uniqueCount="8">
  <si>
    <t>Absorbance</t>
  </si>
  <si>
    <t>Time( min)</t>
  </si>
  <si>
    <t>H2O2</t>
  </si>
  <si>
    <t>k2s2o8</t>
  </si>
  <si>
    <t>NaIO4</t>
  </si>
  <si>
    <t>dye731.72</t>
  </si>
  <si>
    <t>silver</t>
  </si>
  <si>
    <t>Tio2 dose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</si>
</sst>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tabSelected="1" zoomScale="80" zoomScaleNormal="80" workbookViewId="0"/>
  </sheetViews>
  <sheetFormatPr defaultRowHeight="14.4"/>
  <cols>
    <col min="2" max="2" width="11.88671875" customWidth="1"/>
    <col min="4" max="4" width="8.88671875" style="2"/>
    <col min="8" max="8" width="8.88671875" style="2"/>
    <col min="12" max="12" width="8.88671875" style="2"/>
    <col min="16" max="16" width="8.88671875" style="2"/>
    <col min="17" max="17" width="10" bestFit="1" customWidth="1"/>
    <col min="20" max="20" width="8.88671875" style="2"/>
    <col min="28" max="29" width="12" bestFit="1" customWidth="1"/>
    <col min="30" max="30" width="10" bestFit="1" customWidth="1"/>
    <col min="32" max="32" width="12" bestFit="1" customWidth="1"/>
  </cols>
  <sheetData>
    <row r="1" spans="1:39">
      <c r="A1" t="s">
        <v>7</v>
      </c>
      <c r="B1" t="s">
        <v>1</v>
      </c>
      <c r="C1" t="s">
        <v>0</v>
      </c>
      <c r="E1" t="s">
        <v>2</v>
      </c>
      <c r="F1" t="s">
        <v>1</v>
      </c>
      <c r="G1" t="s">
        <v>0</v>
      </c>
      <c r="I1" t="s">
        <v>3</v>
      </c>
      <c r="J1" t="s">
        <v>1</v>
      </c>
      <c r="K1" t="s">
        <v>0</v>
      </c>
      <c r="M1" t="s">
        <v>4</v>
      </c>
      <c r="N1" t="s">
        <v>1</v>
      </c>
      <c r="O1" t="s">
        <v>0</v>
      </c>
      <c r="Q1" t="s">
        <v>5</v>
      </c>
      <c r="R1" t="s">
        <v>1</v>
      </c>
      <c r="S1" t="s">
        <v>0</v>
      </c>
      <c r="U1" t="s">
        <v>6</v>
      </c>
      <c r="V1" t="s">
        <v>1</v>
      </c>
      <c r="W1" t="s">
        <v>0</v>
      </c>
    </row>
    <row r="2" spans="1:39">
      <c r="A2">
        <v>0.2</v>
      </c>
      <c r="B2">
        <v>0</v>
      </c>
      <c r="C2">
        <v>0.98099999999999998</v>
      </c>
      <c r="E2">
        <f>1/100</f>
        <v>0.01</v>
      </c>
      <c r="F2">
        <v>0</v>
      </c>
      <c r="G2">
        <v>1</v>
      </c>
      <c r="I2">
        <f>1/1000</f>
        <v>1E-3</v>
      </c>
      <c r="J2">
        <v>0</v>
      </c>
      <c r="K2">
        <v>0.77200000000000002</v>
      </c>
      <c r="M2">
        <f>1/10000</f>
        <v>1E-4</v>
      </c>
      <c r="N2">
        <v>0</v>
      </c>
      <c r="O2">
        <v>0.996</v>
      </c>
      <c r="Q2">
        <f>2.4*1/10000</f>
        <v>2.3999999999999998E-4</v>
      </c>
      <c r="R2">
        <v>0</v>
      </c>
      <c r="S2">
        <v>0.318</v>
      </c>
      <c r="U2">
        <f>1/10000</f>
        <v>1E-4</v>
      </c>
      <c r="V2">
        <v>0</v>
      </c>
      <c r="W2">
        <v>1.06</v>
      </c>
    </row>
    <row r="3" spans="1:39">
      <c r="A3">
        <v>0.2</v>
      </c>
      <c r="B3">
        <v>1</v>
      </c>
      <c r="C3">
        <v>0.47</v>
      </c>
      <c r="E3">
        <f t="shared" ref="E3:E12" si="0">1/100</f>
        <v>0.01</v>
      </c>
      <c r="F3">
        <v>0.5</v>
      </c>
      <c r="G3">
        <v>0.59</v>
      </c>
      <c r="I3">
        <f t="shared" ref="I3:I12" si="1">1/1000</f>
        <v>1E-3</v>
      </c>
      <c r="J3">
        <v>0.5</v>
      </c>
      <c r="K3">
        <v>0.51300000000000001</v>
      </c>
      <c r="M3">
        <f t="shared" ref="M3:M12" si="2">1/10000</f>
        <v>1E-4</v>
      </c>
      <c r="N3">
        <v>0.5</v>
      </c>
      <c r="O3">
        <v>0.64800000000000002</v>
      </c>
      <c r="Q3">
        <f t="shared" ref="Q3:Q14" si="3">2.4*1/10000</f>
        <v>2.3999999999999998E-4</v>
      </c>
      <c r="R3">
        <v>0.5</v>
      </c>
      <c r="S3">
        <v>0.14499999999999999</v>
      </c>
      <c r="U3">
        <f t="shared" ref="U3:U12" si="4">1/10000</f>
        <v>1E-4</v>
      </c>
      <c r="V3">
        <v>0.5</v>
      </c>
      <c r="W3">
        <v>0.29199999999999998</v>
      </c>
    </row>
    <row r="4" spans="1:39">
      <c r="A4">
        <v>0.2</v>
      </c>
      <c r="B4">
        <v>2.5</v>
      </c>
      <c r="C4">
        <v>0.48</v>
      </c>
      <c r="E4">
        <f t="shared" si="0"/>
        <v>0.01</v>
      </c>
      <c r="F4">
        <v>2</v>
      </c>
      <c r="G4">
        <v>0.64500000000000002</v>
      </c>
      <c r="I4">
        <f t="shared" si="1"/>
        <v>1E-3</v>
      </c>
      <c r="J4">
        <v>2</v>
      </c>
      <c r="K4">
        <v>0.41599999999999998</v>
      </c>
      <c r="M4">
        <f t="shared" si="2"/>
        <v>1E-4</v>
      </c>
      <c r="N4">
        <v>2</v>
      </c>
      <c r="O4">
        <v>0.60799999999999998</v>
      </c>
      <c r="Q4">
        <f t="shared" si="3"/>
        <v>2.3999999999999998E-4</v>
      </c>
      <c r="R4">
        <v>2</v>
      </c>
      <c r="S4">
        <v>0.10299999999999999</v>
      </c>
      <c r="U4">
        <f t="shared" si="4"/>
        <v>1E-4</v>
      </c>
      <c r="V4">
        <v>2</v>
      </c>
      <c r="W4">
        <v>0.375</v>
      </c>
    </row>
    <row r="5" spans="1:39">
      <c r="A5">
        <v>0.2</v>
      </c>
      <c r="B5">
        <v>5</v>
      </c>
      <c r="C5">
        <v>0.46700000000000003</v>
      </c>
      <c r="E5">
        <f t="shared" si="0"/>
        <v>0.01</v>
      </c>
      <c r="F5">
        <v>5</v>
      </c>
      <c r="G5">
        <v>0.56999999999999995</v>
      </c>
      <c r="I5">
        <f t="shared" si="1"/>
        <v>1E-3</v>
      </c>
      <c r="J5">
        <v>5</v>
      </c>
      <c r="K5">
        <v>0.42399999999999999</v>
      </c>
      <c r="M5">
        <f t="shared" si="2"/>
        <v>1E-4</v>
      </c>
      <c r="N5">
        <v>5</v>
      </c>
      <c r="O5">
        <v>0.62</v>
      </c>
      <c r="Q5">
        <f t="shared" si="3"/>
        <v>2.3999999999999998E-4</v>
      </c>
      <c r="R5">
        <v>5</v>
      </c>
      <c r="S5">
        <v>9.8000000000000004E-2</v>
      </c>
      <c r="U5">
        <f t="shared" si="4"/>
        <v>1E-4</v>
      </c>
      <c r="V5">
        <v>5</v>
      </c>
      <c r="W5">
        <v>0.47799999999999998</v>
      </c>
    </row>
    <row r="6" spans="1:39">
      <c r="A6">
        <v>0.2</v>
      </c>
      <c r="B6">
        <v>10</v>
      </c>
      <c r="C6">
        <v>0.438</v>
      </c>
      <c r="E6">
        <f t="shared" si="0"/>
        <v>0.01</v>
      </c>
      <c r="F6">
        <v>10</v>
      </c>
      <c r="G6">
        <v>0.56999999999999995</v>
      </c>
      <c r="I6">
        <f t="shared" si="1"/>
        <v>1E-3</v>
      </c>
      <c r="J6">
        <v>10</v>
      </c>
      <c r="K6">
        <v>0.51800000000000002</v>
      </c>
      <c r="M6">
        <f t="shared" si="2"/>
        <v>1E-4</v>
      </c>
      <c r="N6">
        <v>10</v>
      </c>
      <c r="O6">
        <v>0.67</v>
      </c>
      <c r="Q6">
        <f t="shared" si="3"/>
        <v>2.3999999999999998E-4</v>
      </c>
      <c r="R6">
        <v>10</v>
      </c>
      <c r="S6">
        <v>9.1999999999999998E-2</v>
      </c>
      <c r="U6">
        <f t="shared" si="4"/>
        <v>1E-4</v>
      </c>
      <c r="V6">
        <v>10</v>
      </c>
      <c r="W6">
        <v>0.55800000000000005</v>
      </c>
    </row>
    <row r="7" spans="1:39">
      <c r="A7">
        <v>0.2</v>
      </c>
      <c r="B7">
        <v>20</v>
      </c>
      <c r="C7">
        <v>0.45700000000000002</v>
      </c>
      <c r="E7">
        <f t="shared" si="0"/>
        <v>0.01</v>
      </c>
      <c r="F7">
        <v>20</v>
      </c>
      <c r="G7">
        <v>0.51500000000000001</v>
      </c>
      <c r="I7">
        <f t="shared" si="1"/>
        <v>1E-3</v>
      </c>
      <c r="J7">
        <v>20</v>
      </c>
      <c r="K7">
        <v>0.48699999999999999</v>
      </c>
      <c r="M7">
        <f t="shared" si="2"/>
        <v>1E-4</v>
      </c>
      <c r="N7">
        <v>20</v>
      </c>
      <c r="O7">
        <v>0.47899999999999998</v>
      </c>
      <c r="Q7">
        <f t="shared" si="3"/>
        <v>2.3999999999999998E-4</v>
      </c>
      <c r="R7">
        <v>20</v>
      </c>
      <c r="S7">
        <v>7.8E-2</v>
      </c>
      <c r="U7">
        <f t="shared" si="4"/>
        <v>1E-4</v>
      </c>
      <c r="V7">
        <v>20</v>
      </c>
      <c r="W7">
        <v>0.55400000000000005</v>
      </c>
      <c r="Z7" s="1"/>
      <c r="AA7" s="1"/>
      <c r="AB7" s="1"/>
      <c r="AC7" s="1"/>
      <c r="AD7" s="1"/>
      <c r="AE7" s="1"/>
      <c r="AF7" s="1"/>
    </row>
    <row r="8" spans="1:39">
      <c r="A8">
        <v>0.2</v>
      </c>
      <c r="B8">
        <v>40</v>
      </c>
      <c r="C8">
        <v>0.4</v>
      </c>
      <c r="E8">
        <f t="shared" si="0"/>
        <v>0.01</v>
      </c>
      <c r="F8">
        <v>40</v>
      </c>
      <c r="G8">
        <v>0.57499999999999996</v>
      </c>
      <c r="I8">
        <f t="shared" si="1"/>
        <v>1E-3</v>
      </c>
      <c r="J8">
        <v>40</v>
      </c>
      <c r="K8">
        <v>0.47599999999999998</v>
      </c>
      <c r="M8">
        <f t="shared" si="2"/>
        <v>1E-4</v>
      </c>
      <c r="N8">
        <v>40</v>
      </c>
      <c r="O8">
        <v>0.55900000000000005</v>
      </c>
      <c r="Q8">
        <f t="shared" si="3"/>
        <v>2.3999999999999998E-4</v>
      </c>
      <c r="R8">
        <v>40</v>
      </c>
      <c r="S8">
        <v>9.1999999999999998E-2</v>
      </c>
      <c r="U8">
        <f t="shared" si="4"/>
        <v>1E-4</v>
      </c>
      <c r="V8">
        <v>40</v>
      </c>
      <c r="W8">
        <v>0.54300000000000004</v>
      </c>
      <c r="X8" s="5"/>
      <c r="Y8" s="1"/>
      <c r="AA8" s="1"/>
    </row>
    <row r="9" spans="1:39">
      <c r="A9">
        <v>0.2</v>
      </c>
      <c r="B9">
        <v>60</v>
      </c>
      <c r="C9">
        <v>0.42799999999999999</v>
      </c>
      <c r="E9">
        <f t="shared" si="0"/>
        <v>0.01</v>
      </c>
      <c r="F9">
        <v>60</v>
      </c>
      <c r="G9">
        <v>0.441</v>
      </c>
      <c r="I9">
        <f t="shared" si="1"/>
        <v>1E-3</v>
      </c>
      <c r="J9">
        <v>60</v>
      </c>
      <c r="K9">
        <v>0.46600000000000003</v>
      </c>
      <c r="M9">
        <f t="shared" si="2"/>
        <v>1E-4</v>
      </c>
      <c r="N9">
        <v>60</v>
      </c>
      <c r="O9">
        <v>0.55100000000000005</v>
      </c>
      <c r="Q9">
        <f t="shared" si="3"/>
        <v>2.3999999999999998E-4</v>
      </c>
      <c r="R9">
        <v>60</v>
      </c>
      <c r="S9">
        <v>8.3000000000000004E-2</v>
      </c>
      <c r="U9">
        <f t="shared" si="4"/>
        <v>1E-4</v>
      </c>
      <c r="V9">
        <v>60</v>
      </c>
      <c r="W9">
        <v>0.50800000000000001</v>
      </c>
      <c r="X9" s="5"/>
      <c r="Y9" s="4"/>
      <c r="Z9" s="4"/>
      <c r="AA9" s="3"/>
      <c r="AB9" s="3"/>
      <c r="AC9" s="3"/>
      <c r="AD9" s="3"/>
      <c r="AE9" s="3"/>
      <c r="AF9" s="3"/>
    </row>
    <row r="10" spans="1:39">
      <c r="A10">
        <v>0.2</v>
      </c>
      <c r="B10">
        <v>80</v>
      </c>
      <c r="C10">
        <v>0.4</v>
      </c>
      <c r="E10">
        <f t="shared" si="0"/>
        <v>0.01</v>
      </c>
      <c r="F10">
        <v>80</v>
      </c>
      <c r="G10">
        <v>0.41499999999999998</v>
      </c>
      <c r="I10">
        <f t="shared" si="1"/>
        <v>1E-3</v>
      </c>
      <c r="J10">
        <v>80</v>
      </c>
      <c r="K10">
        <v>0.498</v>
      </c>
      <c r="M10">
        <f t="shared" si="2"/>
        <v>1E-4</v>
      </c>
      <c r="N10">
        <v>80</v>
      </c>
      <c r="O10">
        <v>0.51700000000000002</v>
      </c>
      <c r="Q10">
        <f t="shared" si="3"/>
        <v>2.3999999999999998E-4</v>
      </c>
      <c r="R10">
        <v>70</v>
      </c>
      <c r="S10">
        <v>7.0000000000000007E-2</v>
      </c>
      <c r="U10">
        <f t="shared" si="4"/>
        <v>1E-4</v>
      </c>
      <c r="V10">
        <v>80</v>
      </c>
      <c r="W10">
        <v>0.45800000000000002</v>
      </c>
      <c r="X10" s="5"/>
      <c r="Y10" s="4"/>
      <c r="Z10" s="4"/>
      <c r="AA10" s="3"/>
      <c r="AB10" s="3"/>
      <c r="AC10" s="3"/>
      <c r="AD10" s="3"/>
      <c r="AE10" s="3"/>
      <c r="AF10" s="3"/>
    </row>
    <row r="11" spans="1:39">
      <c r="A11">
        <v>0.2</v>
      </c>
      <c r="B11">
        <v>100</v>
      </c>
      <c r="C11">
        <v>0.43</v>
      </c>
      <c r="E11">
        <f t="shared" si="0"/>
        <v>0.01</v>
      </c>
      <c r="F11">
        <v>100</v>
      </c>
      <c r="G11">
        <v>0.36599999999999999</v>
      </c>
      <c r="I11">
        <f t="shared" si="1"/>
        <v>1E-3</v>
      </c>
      <c r="J11">
        <v>100</v>
      </c>
      <c r="K11">
        <v>0.46200000000000002</v>
      </c>
      <c r="M11">
        <f t="shared" si="2"/>
        <v>1E-4</v>
      </c>
      <c r="N11">
        <v>100</v>
      </c>
      <c r="O11">
        <v>0.497</v>
      </c>
      <c r="Q11">
        <f t="shared" si="3"/>
        <v>2.3999999999999998E-4</v>
      </c>
      <c r="R11">
        <v>80</v>
      </c>
      <c r="S11">
        <v>6.4000000000000001E-2</v>
      </c>
      <c r="U11">
        <f t="shared" si="4"/>
        <v>1E-4</v>
      </c>
      <c r="V11">
        <v>100</v>
      </c>
      <c r="W11">
        <v>0.42599999999999999</v>
      </c>
      <c r="X11" s="5"/>
      <c r="Y11" s="1"/>
      <c r="AA11" s="3"/>
      <c r="AB11" s="3"/>
      <c r="AC11" s="3"/>
      <c r="AD11" s="3"/>
      <c r="AE11" s="3"/>
      <c r="AF11" s="3"/>
    </row>
    <row r="12" spans="1:39">
      <c r="A12">
        <v>0.4</v>
      </c>
      <c r="B12">
        <v>30</v>
      </c>
      <c r="C12">
        <v>0.433</v>
      </c>
      <c r="E12">
        <f t="shared" si="0"/>
        <v>0.01</v>
      </c>
      <c r="F12">
        <v>120</v>
      </c>
      <c r="G12">
        <v>0.44</v>
      </c>
      <c r="I12">
        <f t="shared" si="1"/>
        <v>1E-3</v>
      </c>
      <c r="J12">
        <v>120</v>
      </c>
      <c r="K12">
        <v>0.49</v>
      </c>
      <c r="M12">
        <f t="shared" si="2"/>
        <v>1E-4</v>
      </c>
      <c r="N12">
        <v>120</v>
      </c>
      <c r="O12">
        <v>0.45</v>
      </c>
      <c r="Q12">
        <f t="shared" si="3"/>
        <v>2.3999999999999998E-4</v>
      </c>
      <c r="R12">
        <v>90</v>
      </c>
      <c r="S12">
        <v>5.6000000000000001E-2</v>
      </c>
      <c r="U12">
        <f t="shared" si="4"/>
        <v>1E-4</v>
      </c>
      <c r="V12">
        <v>120</v>
      </c>
      <c r="W12">
        <v>0.42299999999999999</v>
      </c>
      <c r="X12" s="5"/>
      <c r="Y12" s="4"/>
      <c r="Z12" s="4"/>
      <c r="AA12" s="3"/>
      <c r="AB12" s="3"/>
      <c r="AC12" s="3"/>
      <c r="AD12" s="3"/>
      <c r="AE12" s="3"/>
      <c r="AF12" s="3"/>
    </row>
    <row r="13" spans="1:39">
      <c r="A13">
        <v>0.4</v>
      </c>
      <c r="B13">
        <v>2</v>
      </c>
      <c r="C13">
        <v>0.43</v>
      </c>
      <c r="E13">
        <f>2/100</f>
        <v>0.02</v>
      </c>
      <c r="F13">
        <v>0</v>
      </c>
      <c r="G13">
        <v>1</v>
      </c>
      <c r="I13">
        <f>2/1000</f>
        <v>2E-3</v>
      </c>
      <c r="J13">
        <v>0</v>
      </c>
      <c r="K13">
        <v>0.94899999999999995</v>
      </c>
      <c r="M13">
        <v>2.0000000000000001E-4</v>
      </c>
      <c r="N13">
        <v>0</v>
      </c>
      <c r="O13">
        <v>0.996</v>
      </c>
      <c r="Q13">
        <f t="shared" si="3"/>
        <v>2.3999999999999998E-4</v>
      </c>
      <c r="R13">
        <v>100</v>
      </c>
      <c r="S13">
        <v>0.05</v>
      </c>
      <c r="U13">
        <f>2/10000</f>
        <v>2.0000000000000001E-4</v>
      </c>
      <c r="V13">
        <v>0</v>
      </c>
      <c r="W13">
        <v>1.04</v>
      </c>
      <c r="X13" s="5"/>
      <c r="Y13" s="1"/>
      <c r="AA13" s="3"/>
      <c r="AB13" s="3"/>
      <c r="AC13" s="3"/>
      <c r="AE13" s="3"/>
      <c r="AF13" s="3"/>
    </row>
    <row r="14" spans="1:39">
      <c r="A14">
        <v>0.4</v>
      </c>
      <c r="B14">
        <v>5</v>
      </c>
      <c r="C14">
        <v>0.4</v>
      </c>
      <c r="E14">
        <f t="shared" ref="E14:E23" si="5">2/100</f>
        <v>0.02</v>
      </c>
      <c r="F14">
        <v>0.5</v>
      </c>
      <c r="G14">
        <v>0.66400000000000003</v>
      </c>
      <c r="I14">
        <f t="shared" ref="I14:I23" si="6">2/1000</f>
        <v>2E-3</v>
      </c>
      <c r="J14">
        <v>1</v>
      </c>
      <c r="K14">
        <v>0.61599999999999999</v>
      </c>
      <c r="M14">
        <v>2.0000000000000001E-4</v>
      </c>
      <c r="N14">
        <v>0.5</v>
      </c>
      <c r="O14">
        <v>0.70099999999999996</v>
      </c>
      <c r="Q14">
        <f t="shared" si="3"/>
        <v>2.3999999999999998E-4</v>
      </c>
      <c r="R14">
        <v>110</v>
      </c>
      <c r="S14">
        <v>4.5999999999999999E-2</v>
      </c>
      <c r="U14">
        <f t="shared" ref="U14:U23" si="7">2/10000</f>
        <v>2.0000000000000001E-4</v>
      </c>
      <c r="V14">
        <v>0.5</v>
      </c>
      <c r="W14">
        <v>0.52</v>
      </c>
      <c r="X14" s="5"/>
      <c r="Y14" s="4"/>
      <c r="Z14" s="4"/>
      <c r="AA14" s="3"/>
      <c r="AB14" s="3"/>
      <c r="AC14" s="3"/>
      <c r="AE14" s="3"/>
      <c r="AF14" s="3"/>
      <c r="AG14" s="1"/>
      <c r="AH14" s="1"/>
      <c r="AI14" s="1"/>
      <c r="AJ14" s="1"/>
      <c r="AK14" s="1"/>
      <c r="AL14" s="1"/>
      <c r="AM14" s="1"/>
    </row>
    <row r="15" spans="1:39">
      <c r="A15">
        <v>0.4</v>
      </c>
      <c r="B15">
        <v>15</v>
      </c>
      <c r="C15">
        <v>0.48</v>
      </c>
      <c r="E15">
        <f t="shared" si="5"/>
        <v>0.02</v>
      </c>
      <c r="F15">
        <v>2</v>
      </c>
      <c r="G15">
        <v>0.64700000000000002</v>
      </c>
      <c r="I15">
        <f t="shared" si="6"/>
        <v>2E-3</v>
      </c>
      <c r="J15">
        <v>3</v>
      </c>
      <c r="K15">
        <v>0.59399999999999997</v>
      </c>
      <c r="M15">
        <v>2.0000000000000001E-4</v>
      </c>
      <c r="N15">
        <v>2</v>
      </c>
      <c r="O15">
        <v>0.752</v>
      </c>
      <c r="Q15">
        <f>1.7/10000</f>
        <v>1.6999999999999999E-4</v>
      </c>
      <c r="R15">
        <v>0</v>
      </c>
      <c r="S15">
        <v>0.25</v>
      </c>
      <c r="U15">
        <f t="shared" si="7"/>
        <v>2.0000000000000001E-4</v>
      </c>
      <c r="V15">
        <v>2</v>
      </c>
      <c r="W15">
        <v>0.496</v>
      </c>
      <c r="X15" s="5"/>
      <c r="Y15" s="4"/>
      <c r="Z15" s="4"/>
      <c r="AA15" s="3"/>
      <c r="AB15" s="3"/>
      <c r="AC15" s="3"/>
      <c r="AE15" s="3"/>
      <c r="AF15" s="3"/>
      <c r="AG15" s="1"/>
      <c r="AH15" s="1"/>
      <c r="AI15" s="1"/>
      <c r="AJ15" s="1"/>
      <c r="AK15" s="1"/>
      <c r="AL15" s="1"/>
      <c r="AM15" s="1"/>
    </row>
    <row r="16" spans="1:39">
      <c r="A16">
        <v>0.4</v>
      </c>
      <c r="B16">
        <v>30</v>
      </c>
      <c r="C16">
        <v>0.42599999999999999</v>
      </c>
      <c r="E16">
        <f t="shared" si="5"/>
        <v>0.02</v>
      </c>
      <c r="F16">
        <v>5</v>
      </c>
      <c r="G16">
        <v>0.55100000000000005</v>
      </c>
      <c r="I16">
        <f t="shared" si="6"/>
        <v>2E-3</v>
      </c>
      <c r="J16">
        <v>5</v>
      </c>
      <c r="K16">
        <v>0.57199999999999995</v>
      </c>
      <c r="M16">
        <v>2.0000000000000001E-4</v>
      </c>
      <c r="N16">
        <v>5</v>
      </c>
      <c r="O16">
        <v>0.72599999999999998</v>
      </c>
      <c r="Q16">
        <f t="shared" ref="Q16:Q33" si="8">1.7/10000</f>
        <v>1.6999999999999999E-4</v>
      </c>
      <c r="R16">
        <v>0.5</v>
      </c>
      <c r="S16">
        <v>3.5999999999999997E-2</v>
      </c>
      <c r="U16">
        <f t="shared" si="7"/>
        <v>2.0000000000000001E-4</v>
      </c>
      <c r="V16">
        <v>5</v>
      </c>
      <c r="W16">
        <v>0.49199999999999999</v>
      </c>
      <c r="X16" s="5"/>
      <c r="Y16" s="1"/>
      <c r="AA16" s="3"/>
      <c r="AB16" s="3"/>
      <c r="AC16" s="3"/>
      <c r="AE16" s="3"/>
      <c r="AF16" s="3"/>
    </row>
    <row r="17" spans="1:35">
      <c r="A17">
        <v>0.4</v>
      </c>
      <c r="B17">
        <v>50</v>
      </c>
      <c r="C17">
        <v>0.38200000000000001</v>
      </c>
      <c r="E17">
        <f t="shared" si="5"/>
        <v>0.02</v>
      </c>
      <c r="F17">
        <v>10</v>
      </c>
      <c r="G17">
        <v>0.60399999999999998</v>
      </c>
      <c r="I17">
        <f t="shared" si="6"/>
        <v>2E-3</v>
      </c>
      <c r="J17">
        <v>10</v>
      </c>
      <c r="K17">
        <v>0.55700000000000005</v>
      </c>
      <c r="M17">
        <v>2.0000000000000001E-4</v>
      </c>
      <c r="N17">
        <v>10</v>
      </c>
      <c r="O17">
        <v>0.61</v>
      </c>
      <c r="Q17">
        <f t="shared" si="8"/>
        <v>1.6999999999999999E-4</v>
      </c>
      <c r="R17">
        <v>1.5</v>
      </c>
      <c r="S17">
        <v>3.5999999999999997E-2</v>
      </c>
      <c r="U17">
        <f t="shared" si="7"/>
        <v>2.0000000000000001E-4</v>
      </c>
      <c r="V17">
        <v>10</v>
      </c>
      <c r="W17">
        <v>0.47599999999999998</v>
      </c>
      <c r="X17" s="5"/>
      <c r="Y17" s="4"/>
      <c r="Z17" s="4"/>
      <c r="AA17" s="3"/>
      <c r="AB17" s="3"/>
      <c r="AC17" s="3"/>
      <c r="AE17" s="3"/>
      <c r="AF17" s="3"/>
    </row>
    <row r="18" spans="1:35">
      <c r="A18">
        <v>0.4</v>
      </c>
      <c r="B18">
        <v>70</v>
      </c>
      <c r="C18">
        <v>0.32100000000000001</v>
      </c>
      <c r="E18">
        <f t="shared" si="5"/>
        <v>0.02</v>
      </c>
      <c r="F18">
        <v>20</v>
      </c>
      <c r="G18">
        <v>0.50700000000000001</v>
      </c>
      <c r="I18">
        <f t="shared" si="6"/>
        <v>2E-3</v>
      </c>
      <c r="J18">
        <v>20</v>
      </c>
      <c r="K18">
        <v>0.55800000000000005</v>
      </c>
      <c r="M18">
        <v>2.0000000000000001E-4</v>
      </c>
      <c r="N18">
        <v>20</v>
      </c>
      <c r="O18">
        <v>0.53</v>
      </c>
      <c r="Q18">
        <f t="shared" si="8"/>
        <v>1.6999999999999999E-4</v>
      </c>
      <c r="R18">
        <v>2.5</v>
      </c>
      <c r="S18">
        <v>3.4000000000000002E-2</v>
      </c>
      <c r="U18">
        <f t="shared" si="7"/>
        <v>2.0000000000000001E-4</v>
      </c>
      <c r="V18">
        <v>20</v>
      </c>
      <c r="W18">
        <v>0.44700000000000001</v>
      </c>
      <c r="X18" s="5"/>
      <c r="Y18" s="1"/>
      <c r="AB18" s="3"/>
      <c r="AC18" s="3"/>
      <c r="AE18" s="3"/>
      <c r="AF18" s="3"/>
    </row>
    <row r="19" spans="1:35">
      <c r="A19">
        <v>0.4</v>
      </c>
      <c r="B19">
        <v>90</v>
      </c>
      <c r="C19">
        <v>0.28399999999999997</v>
      </c>
      <c r="E19">
        <f t="shared" si="5"/>
        <v>0.02</v>
      </c>
      <c r="F19">
        <v>40</v>
      </c>
      <c r="G19">
        <v>0.45200000000000001</v>
      </c>
      <c r="I19">
        <f t="shared" si="6"/>
        <v>2E-3</v>
      </c>
      <c r="J19">
        <v>40</v>
      </c>
      <c r="K19">
        <v>0.58299999999999996</v>
      </c>
      <c r="M19">
        <v>2.0000000000000001E-4</v>
      </c>
      <c r="N19">
        <v>40</v>
      </c>
      <c r="O19">
        <v>0.499</v>
      </c>
      <c r="Q19">
        <f t="shared" si="8"/>
        <v>1.6999999999999999E-4</v>
      </c>
      <c r="R19">
        <v>4.5</v>
      </c>
      <c r="S19">
        <v>4.3999999999999997E-2</v>
      </c>
      <c r="U19">
        <f t="shared" si="7"/>
        <v>2.0000000000000001E-4</v>
      </c>
      <c r="V19">
        <v>40</v>
      </c>
      <c r="W19">
        <v>0.433</v>
      </c>
      <c r="X19" s="5"/>
      <c r="Y19" s="4"/>
      <c r="Z19" s="4"/>
      <c r="AB19" s="3"/>
      <c r="AC19" s="3"/>
      <c r="AE19" s="3"/>
      <c r="AF19" s="3"/>
    </row>
    <row r="20" spans="1:35">
      <c r="A20">
        <v>0.4</v>
      </c>
      <c r="B20">
        <v>120</v>
      </c>
      <c r="C20">
        <v>0.27</v>
      </c>
      <c r="E20">
        <f t="shared" si="5"/>
        <v>0.02</v>
      </c>
      <c r="F20">
        <v>60</v>
      </c>
      <c r="G20">
        <v>0.42899999999999999</v>
      </c>
      <c r="I20">
        <f t="shared" si="6"/>
        <v>2E-3</v>
      </c>
      <c r="J20">
        <v>60</v>
      </c>
      <c r="K20">
        <v>0.52500000000000002</v>
      </c>
      <c r="M20">
        <v>2.0000000000000001E-4</v>
      </c>
      <c r="N20">
        <v>60</v>
      </c>
      <c r="O20">
        <v>0.496</v>
      </c>
      <c r="Q20">
        <f t="shared" si="8"/>
        <v>1.6999999999999999E-4</v>
      </c>
      <c r="R20">
        <v>6.5</v>
      </c>
      <c r="S20">
        <v>5.1999999999999998E-2</v>
      </c>
      <c r="U20">
        <f t="shared" si="7"/>
        <v>2.0000000000000001E-4</v>
      </c>
      <c r="V20">
        <v>60</v>
      </c>
      <c r="W20">
        <v>0.41799999999999998</v>
      </c>
      <c r="X20" s="5"/>
      <c r="Y20" s="4"/>
      <c r="Z20" s="4"/>
      <c r="AB20" s="3"/>
      <c r="AC20" s="3"/>
      <c r="AE20" s="3"/>
      <c r="AF20" s="3"/>
    </row>
    <row r="21" spans="1:35">
      <c r="A21">
        <v>0.4</v>
      </c>
      <c r="B21">
        <v>150</v>
      </c>
      <c r="C21">
        <v>0.21199999999999999</v>
      </c>
      <c r="E21">
        <f t="shared" si="5"/>
        <v>0.02</v>
      </c>
      <c r="F21">
        <v>80</v>
      </c>
      <c r="G21">
        <v>0.40300000000000002</v>
      </c>
      <c r="I21">
        <f t="shared" si="6"/>
        <v>2E-3</v>
      </c>
      <c r="J21">
        <v>80</v>
      </c>
      <c r="K21">
        <v>0.52</v>
      </c>
      <c r="M21">
        <v>2.0000000000000001E-4</v>
      </c>
      <c r="N21">
        <v>80</v>
      </c>
      <c r="O21">
        <v>0.47699999999999998</v>
      </c>
      <c r="Q21">
        <f t="shared" si="8"/>
        <v>1.6999999999999999E-4</v>
      </c>
      <c r="R21">
        <v>10</v>
      </c>
      <c r="S21">
        <v>5.8999999999999997E-2</v>
      </c>
      <c r="U21">
        <f t="shared" si="7"/>
        <v>2.0000000000000001E-4</v>
      </c>
      <c r="V21">
        <v>80</v>
      </c>
      <c r="W21">
        <v>0.41299999999999998</v>
      </c>
      <c r="X21" s="5"/>
      <c r="Y21" s="1"/>
      <c r="AB21" s="3"/>
      <c r="AC21" s="3"/>
      <c r="AE21" s="3"/>
      <c r="AF21" s="3"/>
    </row>
    <row r="22" spans="1:35">
      <c r="A22">
        <v>0.1</v>
      </c>
      <c r="B22">
        <v>0.5</v>
      </c>
      <c r="C22">
        <v>0.48599999999999999</v>
      </c>
      <c r="E22">
        <f t="shared" si="5"/>
        <v>0.02</v>
      </c>
      <c r="F22">
        <v>100</v>
      </c>
      <c r="G22">
        <v>0.36</v>
      </c>
      <c r="I22">
        <f t="shared" si="6"/>
        <v>2E-3</v>
      </c>
      <c r="J22">
        <v>100</v>
      </c>
      <c r="K22">
        <v>0.51300000000000001</v>
      </c>
      <c r="M22">
        <v>2.0000000000000001E-4</v>
      </c>
      <c r="N22">
        <v>100</v>
      </c>
      <c r="O22">
        <v>0.46200000000000002</v>
      </c>
      <c r="Q22">
        <f t="shared" si="8"/>
        <v>1.6999999999999999E-4</v>
      </c>
      <c r="R22">
        <v>15</v>
      </c>
      <c r="S22">
        <v>5.1999999999999998E-2</v>
      </c>
      <c r="U22">
        <f t="shared" si="7"/>
        <v>2.0000000000000001E-4</v>
      </c>
      <c r="V22">
        <v>100</v>
      </c>
      <c r="W22">
        <v>0.38800000000000001</v>
      </c>
      <c r="X22" s="5"/>
      <c r="Y22" s="4"/>
      <c r="Z22" s="4"/>
      <c r="AB22" s="3"/>
      <c r="AC22" s="3"/>
      <c r="AE22" s="3"/>
      <c r="AF22" s="3"/>
    </row>
    <row r="23" spans="1:35">
      <c r="A23">
        <v>0.1</v>
      </c>
      <c r="B23">
        <v>1.5</v>
      </c>
      <c r="C23">
        <v>0.45300000000000001</v>
      </c>
      <c r="E23">
        <f t="shared" si="5"/>
        <v>0.02</v>
      </c>
      <c r="F23">
        <v>120</v>
      </c>
      <c r="G23">
        <v>0.28000000000000003</v>
      </c>
      <c r="I23">
        <f t="shared" si="6"/>
        <v>2E-3</v>
      </c>
      <c r="J23">
        <v>120</v>
      </c>
      <c r="K23">
        <v>0.498</v>
      </c>
      <c r="M23">
        <v>2.0000000000000001E-4</v>
      </c>
      <c r="N23">
        <v>120</v>
      </c>
      <c r="O23">
        <v>0.42</v>
      </c>
      <c r="Q23">
        <f t="shared" si="8"/>
        <v>1.6999999999999999E-4</v>
      </c>
      <c r="R23">
        <v>20</v>
      </c>
      <c r="S23">
        <v>4.9000000000000002E-2</v>
      </c>
      <c r="U23">
        <f t="shared" si="7"/>
        <v>2.0000000000000001E-4</v>
      </c>
      <c r="V23">
        <v>120</v>
      </c>
      <c r="W23">
        <v>0.39700000000000002</v>
      </c>
      <c r="X23" s="5"/>
      <c r="Y23" s="1"/>
      <c r="AB23" s="3"/>
      <c r="AC23" s="3"/>
      <c r="AE23" s="3"/>
      <c r="AF23" s="3"/>
    </row>
    <row r="24" spans="1:35">
      <c r="A24">
        <v>0.1</v>
      </c>
      <c r="B24">
        <v>2.5</v>
      </c>
      <c r="C24">
        <v>0.40400000000000003</v>
      </c>
      <c r="E24">
        <f>3/100</f>
        <v>0.03</v>
      </c>
      <c r="F24">
        <v>0</v>
      </c>
      <c r="G24">
        <v>0.95899999999999996</v>
      </c>
      <c r="I24">
        <f>3/1000</f>
        <v>3.0000000000000001E-3</v>
      </c>
      <c r="J24">
        <v>0</v>
      </c>
      <c r="K24">
        <v>0.93</v>
      </c>
      <c r="M24">
        <v>4.0000000000000002E-4</v>
      </c>
      <c r="N24">
        <v>0</v>
      </c>
      <c r="O24">
        <v>1</v>
      </c>
      <c r="Q24">
        <f t="shared" si="8"/>
        <v>1.6999999999999999E-4</v>
      </c>
      <c r="R24">
        <v>25</v>
      </c>
      <c r="S24">
        <v>4.4999999999999998E-2</v>
      </c>
      <c r="U24">
        <f>4/10000</f>
        <v>4.0000000000000002E-4</v>
      </c>
      <c r="V24">
        <v>0</v>
      </c>
      <c r="W24">
        <v>0.97299999999999998</v>
      </c>
      <c r="X24" s="5"/>
      <c r="Y24" s="4"/>
      <c r="Z24" s="4"/>
      <c r="AB24" s="3"/>
      <c r="AC24" s="3"/>
      <c r="AE24" s="3"/>
      <c r="AF24" s="3"/>
    </row>
    <row r="25" spans="1:35">
      <c r="A25">
        <v>0.1</v>
      </c>
      <c r="B25">
        <v>4</v>
      </c>
      <c r="C25">
        <v>0.39800000000000002</v>
      </c>
      <c r="E25">
        <f t="shared" ref="E25:E34" si="9">3/100</f>
        <v>0.03</v>
      </c>
      <c r="F25">
        <v>0.5</v>
      </c>
      <c r="G25">
        <v>0.58499999999999996</v>
      </c>
      <c r="I25">
        <f t="shared" ref="I25:I33" si="10">3/1000</f>
        <v>3.0000000000000001E-3</v>
      </c>
      <c r="J25">
        <v>0.5</v>
      </c>
      <c r="K25">
        <v>0.60099999999999998</v>
      </c>
      <c r="M25">
        <v>4.0000000000000002E-4</v>
      </c>
      <c r="N25">
        <v>0.5</v>
      </c>
      <c r="O25">
        <v>0.61299999999999999</v>
      </c>
      <c r="Q25">
        <f t="shared" si="8"/>
        <v>1.6999999999999999E-4</v>
      </c>
      <c r="R25">
        <v>30</v>
      </c>
      <c r="S25">
        <v>5.1999999999999998E-2</v>
      </c>
      <c r="U25">
        <f t="shared" ref="U25:U34" si="11">4/10000</f>
        <v>4.0000000000000002E-4</v>
      </c>
      <c r="V25">
        <v>0.5</v>
      </c>
      <c r="W25">
        <v>0.36599999999999999</v>
      </c>
      <c r="X25" s="5"/>
      <c r="Y25" s="4"/>
      <c r="Z25" s="4"/>
      <c r="AB25" s="3"/>
      <c r="AC25" s="3"/>
      <c r="AE25" s="3"/>
      <c r="AF25" s="3"/>
    </row>
    <row r="26" spans="1:35">
      <c r="A26">
        <v>0.1</v>
      </c>
      <c r="B26">
        <v>10</v>
      </c>
      <c r="C26">
        <v>0.34799999999999998</v>
      </c>
      <c r="E26">
        <f t="shared" si="9"/>
        <v>0.03</v>
      </c>
      <c r="F26">
        <v>2</v>
      </c>
      <c r="G26">
        <v>0.72299999999999998</v>
      </c>
      <c r="I26">
        <f t="shared" si="10"/>
        <v>3.0000000000000001E-3</v>
      </c>
      <c r="J26">
        <v>5</v>
      </c>
      <c r="K26">
        <v>0.53900000000000003</v>
      </c>
      <c r="M26">
        <v>4.0000000000000002E-4</v>
      </c>
      <c r="N26">
        <v>2</v>
      </c>
      <c r="O26">
        <v>0.65600000000000003</v>
      </c>
      <c r="Q26">
        <f t="shared" si="8"/>
        <v>1.6999999999999999E-4</v>
      </c>
      <c r="R26">
        <v>40</v>
      </c>
      <c r="S26">
        <v>4.2999999999999997E-2</v>
      </c>
      <c r="U26">
        <f t="shared" si="11"/>
        <v>4.0000000000000002E-4</v>
      </c>
      <c r="V26">
        <v>2.5</v>
      </c>
      <c r="W26">
        <v>0.40799999999999997</v>
      </c>
      <c r="X26" s="5"/>
      <c r="Y26" s="1"/>
      <c r="AB26" s="3"/>
      <c r="AC26" s="3"/>
      <c r="AE26" s="3"/>
      <c r="AF26" s="3"/>
    </row>
    <row r="27" spans="1:35">
      <c r="A27">
        <v>0.1</v>
      </c>
      <c r="B27">
        <v>15</v>
      </c>
      <c r="C27">
        <v>0.30399999999999999</v>
      </c>
      <c r="E27">
        <f t="shared" si="9"/>
        <v>0.03</v>
      </c>
      <c r="F27">
        <v>5</v>
      </c>
      <c r="G27">
        <v>0.65800000000000003</v>
      </c>
      <c r="I27">
        <f t="shared" si="10"/>
        <v>3.0000000000000001E-3</v>
      </c>
      <c r="J27">
        <v>10</v>
      </c>
      <c r="K27">
        <v>0.55500000000000005</v>
      </c>
      <c r="M27">
        <v>4.0000000000000002E-4</v>
      </c>
      <c r="N27">
        <v>5</v>
      </c>
      <c r="O27">
        <v>0.65400000000000003</v>
      </c>
      <c r="Q27">
        <f t="shared" si="8"/>
        <v>1.6999999999999999E-4</v>
      </c>
      <c r="R27">
        <v>50</v>
      </c>
      <c r="S27">
        <v>3.5999999999999997E-2</v>
      </c>
      <c r="U27">
        <f t="shared" si="11"/>
        <v>4.0000000000000002E-4</v>
      </c>
      <c r="V27">
        <v>5</v>
      </c>
      <c r="W27">
        <v>0.41399999999999998</v>
      </c>
      <c r="X27" s="5"/>
      <c r="Y27" s="4"/>
      <c r="Z27" s="4"/>
      <c r="AB27" s="3"/>
      <c r="AC27" s="3"/>
      <c r="AE27" s="3"/>
      <c r="AF27" s="3"/>
    </row>
    <row r="28" spans="1:35">
      <c r="A28">
        <v>0.1</v>
      </c>
      <c r="B28">
        <v>20</v>
      </c>
      <c r="C28">
        <v>0.33400000000000002</v>
      </c>
      <c r="E28">
        <f t="shared" si="9"/>
        <v>0.03</v>
      </c>
      <c r="F28">
        <v>10</v>
      </c>
      <c r="G28">
        <v>0.63400000000000001</v>
      </c>
      <c r="I28">
        <f t="shared" si="10"/>
        <v>3.0000000000000001E-3</v>
      </c>
      <c r="J28">
        <v>20</v>
      </c>
      <c r="K28">
        <v>0.64100000000000001</v>
      </c>
      <c r="M28">
        <v>4.0000000000000002E-4</v>
      </c>
      <c r="N28">
        <v>10</v>
      </c>
      <c r="O28">
        <v>0.58799999999999997</v>
      </c>
      <c r="Q28">
        <f t="shared" si="8"/>
        <v>1.6999999999999999E-4</v>
      </c>
      <c r="R28">
        <v>60</v>
      </c>
      <c r="S28">
        <v>0.03</v>
      </c>
      <c r="U28">
        <f t="shared" si="11"/>
        <v>4.0000000000000002E-4</v>
      </c>
      <c r="V28">
        <v>10</v>
      </c>
      <c r="W28">
        <v>0.46300000000000002</v>
      </c>
      <c r="X28" s="5"/>
      <c r="Y28" s="1"/>
      <c r="AB28" s="3"/>
      <c r="AC28" s="3"/>
      <c r="AE28" s="3"/>
      <c r="AF28" s="3"/>
    </row>
    <row r="29" spans="1:35">
      <c r="A29">
        <v>0.1</v>
      </c>
      <c r="B29">
        <v>34.5</v>
      </c>
      <c r="C29">
        <v>0.28999999999999998</v>
      </c>
      <c r="E29">
        <f t="shared" si="9"/>
        <v>0.03</v>
      </c>
      <c r="F29">
        <v>20</v>
      </c>
      <c r="G29">
        <v>0.63</v>
      </c>
      <c r="I29">
        <f t="shared" si="10"/>
        <v>3.0000000000000001E-3</v>
      </c>
      <c r="J29">
        <v>40</v>
      </c>
      <c r="K29">
        <v>0.54100000000000004</v>
      </c>
      <c r="M29">
        <v>4.0000000000000002E-4</v>
      </c>
      <c r="N29">
        <v>20</v>
      </c>
      <c r="O29">
        <v>0.49199999999999999</v>
      </c>
      <c r="Q29">
        <f t="shared" si="8"/>
        <v>1.6999999999999999E-4</v>
      </c>
      <c r="R29">
        <v>70</v>
      </c>
      <c r="S29">
        <v>2.7E-2</v>
      </c>
      <c r="U29">
        <f t="shared" si="11"/>
        <v>4.0000000000000002E-4</v>
      </c>
      <c r="V29">
        <v>20</v>
      </c>
      <c r="W29">
        <v>0.44</v>
      </c>
      <c r="X29" s="5"/>
      <c r="Y29" s="4"/>
      <c r="Z29" s="4"/>
      <c r="AB29" s="3"/>
      <c r="AC29" s="3"/>
      <c r="AE29" s="3"/>
      <c r="AF29" s="3"/>
    </row>
    <row r="30" spans="1:35">
      <c r="A30">
        <v>0.1</v>
      </c>
      <c r="B30">
        <v>50</v>
      </c>
      <c r="C30">
        <v>0.34499999999999997</v>
      </c>
      <c r="E30">
        <f t="shared" si="9"/>
        <v>0.03</v>
      </c>
      <c r="F30">
        <v>40</v>
      </c>
      <c r="G30">
        <v>0.59599999999999997</v>
      </c>
      <c r="I30">
        <f t="shared" si="10"/>
        <v>3.0000000000000001E-3</v>
      </c>
      <c r="J30">
        <v>60</v>
      </c>
      <c r="K30">
        <v>0.51700000000000002</v>
      </c>
      <c r="M30">
        <v>4.0000000000000002E-4</v>
      </c>
      <c r="N30">
        <v>40</v>
      </c>
      <c r="O30">
        <v>0.40300000000000002</v>
      </c>
      <c r="Q30">
        <f t="shared" si="8"/>
        <v>1.6999999999999999E-4</v>
      </c>
      <c r="R30">
        <v>80</v>
      </c>
      <c r="S30">
        <v>0.02</v>
      </c>
      <c r="U30">
        <f t="shared" si="11"/>
        <v>4.0000000000000002E-4</v>
      </c>
      <c r="V30">
        <v>40</v>
      </c>
      <c r="W30">
        <v>0.38800000000000001</v>
      </c>
      <c r="X30" s="5"/>
      <c r="Y30" s="4"/>
      <c r="Z30" s="4"/>
      <c r="AB30" s="3"/>
      <c r="AC30" s="3"/>
      <c r="AE30" s="3"/>
      <c r="AF30" s="3"/>
    </row>
    <row r="31" spans="1:35">
      <c r="A31">
        <v>0.1</v>
      </c>
      <c r="B31">
        <v>65</v>
      </c>
      <c r="C31">
        <v>0.26200000000000001</v>
      </c>
      <c r="E31">
        <f t="shared" si="9"/>
        <v>0.03</v>
      </c>
      <c r="F31">
        <v>60</v>
      </c>
      <c r="G31">
        <v>0.49</v>
      </c>
      <c r="I31">
        <f t="shared" si="10"/>
        <v>3.0000000000000001E-3</v>
      </c>
      <c r="J31">
        <v>80</v>
      </c>
      <c r="K31">
        <v>0.44800000000000001</v>
      </c>
      <c r="M31">
        <v>4.0000000000000002E-4</v>
      </c>
      <c r="N31">
        <v>60</v>
      </c>
      <c r="O31">
        <v>0.255</v>
      </c>
      <c r="Q31">
        <f t="shared" si="8"/>
        <v>1.6999999999999999E-4</v>
      </c>
      <c r="R31">
        <v>90</v>
      </c>
      <c r="S31">
        <v>1.4E-2</v>
      </c>
      <c r="U31">
        <f t="shared" si="11"/>
        <v>4.0000000000000002E-4</v>
      </c>
      <c r="V31">
        <v>60</v>
      </c>
      <c r="W31">
        <v>0.35699999999999998</v>
      </c>
      <c r="X31" s="5"/>
      <c r="Y31" s="1"/>
      <c r="AB31" s="3"/>
      <c r="AC31" s="3"/>
      <c r="AE31" s="3"/>
      <c r="AF31" s="3"/>
    </row>
    <row r="32" spans="1:35">
      <c r="E32">
        <f t="shared" si="9"/>
        <v>0.03</v>
      </c>
      <c r="F32">
        <v>80</v>
      </c>
      <c r="G32">
        <v>0.47799999999999998</v>
      </c>
      <c r="I32">
        <f t="shared" si="10"/>
        <v>3.0000000000000001E-3</v>
      </c>
      <c r="J32">
        <v>100</v>
      </c>
      <c r="K32">
        <v>0.41199999999999998</v>
      </c>
      <c r="M32">
        <v>4.0000000000000002E-4</v>
      </c>
      <c r="N32">
        <v>80</v>
      </c>
      <c r="O32">
        <v>0.17799999999999999</v>
      </c>
      <c r="Q32">
        <f t="shared" si="8"/>
        <v>1.6999999999999999E-4</v>
      </c>
      <c r="R32">
        <v>100</v>
      </c>
      <c r="S32">
        <v>0.01</v>
      </c>
      <c r="U32">
        <f t="shared" si="11"/>
        <v>4.0000000000000002E-4</v>
      </c>
      <c r="V32">
        <v>80</v>
      </c>
      <c r="W32">
        <v>0.33800000000000002</v>
      </c>
      <c r="X32" s="5"/>
      <c r="Y32" s="4"/>
      <c r="Z32" s="4"/>
      <c r="AB32" s="3"/>
      <c r="AC32" s="3"/>
      <c r="AE32" s="3"/>
      <c r="AF32" s="3"/>
      <c r="AG32" s="1"/>
      <c r="AH32" s="1"/>
      <c r="AI32" s="1"/>
    </row>
    <row r="33" spans="5:35">
      <c r="E33">
        <f t="shared" si="9"/>
        <v>0.03</v>
      </c>
      <c r="F33">
        <v>100</v>
      </c>
      <c r="G33">
        <v>0.42099999999999999</v>
      </c>
      <c r="I33">
        <f t="shared" si="10"/>
        <v>3.0000000000000001E-3</v>
      </c>
      <c r="J33">
        <v>120</v>
      </c>
      <c r="K33">
        <v>0.372</v>
      </c>
      <c r="M33">
        <v>4.0000000000000002E-4</v>
      </c>
      <c r="N33">
        <v>100</v>
      </c>
      <c r="O33">
        <v>0.126</v>
      </c>
      <c r="Q33">
        <f t="shared" si="8"/>
        <v>1.6999999999999999E-4</v>
      </c>
      <c r="R33">
        <v>110</v>
      </c>
      <c r="S33">
        <v>8.9999999999999993E-3</v>
      </c>
      <c r="U33">
        <f t="shared" si="11"/>
        <v>4.0000000000000002E-4</v>
      </c>
      <c r="V33">
        <v>100</v>
      </c>
      <c r="W33">
        <v>0.312</v>
      </c>
      <c r="X33" s="5"/>
      <c r="Y33" s="1"/>
      <c r="AB33" s="3"/>
      <c r="AC33" s="3"/>
      <c r="AE33" s="3"/>
      <c r="AF33" s="3"/>
      <c r="AG33" s="1"/>
      <c r="AH33" s="1"/>
      <c r="AI33" s="1"/>
    </row>
    <row r="34" spans="5:35">
      <c r="E34">
        <f t="shared" si="9"/>
        <v>0.03</v>
      </c>
      <c r="F34">
        <v>120</v>
      </c>
      <c r="G34">
        <v>0.39</v>
      </c>
      <c r="I34">
        <f>4/1000</f>
        <v>4.0000000000000001E-3</v>
      </c>
      <c r="J34">
        <v>0</v>
      </c>
      <c r="K34">
        <v>0.89900000000000002</v>
      </c>
      <c r="M34">
        <v>4.0000000000000002E-4</v>
      </c>
      <c r="N34">
        <v>120</v>
      </c>
      <c r="O34">
        <v>0.11700000000000001</v>
      </c>
      <c r="Q34">
        <f>1/10000</f>
        <v>1E-4</v>
      </c>
      <c r="R34">
        <v>0</v>
      </c>
      <c r="S34">
        <v>0.13700000000000001</v>
      </c>
      <c r="U34">
        <f t="shared" si="11"/>
        <v>4.0000000000000002E-4</v>
      </c>
      <c r="V34">
        <v>120</v>
      </c>
      <c r="W34">
        <v>0.28799999999999998</v>
      </c>
      <c r="X34" s="5"/>
      <c r="Y34" s="4"/>
      <c r="Z34" s="4"/>
      <c r="AB34" s="3"/>
      <c r="AC34" s="3"/>
      <c r="AE34" s="3"/>
      <c r="AF34" s="3"/>
    </row>
    <row r="35" spans="5:35">
      <c r="E35">
        <f>4/100</f>
        <v>0.04</v>
      </c>
      <c r="F35">
        <v>0</v>
      </c>
      <c r="G35">
        <v>1</v>
      </c>
      <c r="I35">
        <f t="shared" ref="I35:I44" si="12">4/1000</f>
        <v>4.0000000000000001E-3</v>
      </c>
      <c r="J35">
        <v>0.5</v>
      </c>
      <c r="K35">
        <v>0.49</v>
      </c>
      <c r="M35">
        <f>8/10000</f>
        <v>8.0000000000000004E-4</v>
      </c>
      <c r="N35">
        <v>0</v>
      </c>
      <c r="O35">
        <v>1.02</v>
      </c>
      <c r="Q35">
        <f t="shared" ref="Q35:Q48" si="13">1/10000</f>
        <v>1E-4</v>
      </c>
      <c r="R35">
        <v>0.5</v>
      </c>
      <c r="S35">
        <v>1.4999999999999999E-2</v>
      </c>
      <c r="U35">
        <f>8/10000</f>
        <v>8.0000000000000004E-4</v>
      </c>
      <c r="V35">
        <v>0</v>
      </c>
      <c r="W35">
        <v>0.81200000000000006</v>
      </c>
      <c r="X35" s="5"/>
      <c r="Y35" s="4"/>
      <c r="Z35" s="4"/>
      <c r="AB35" s="3"/>
      <c r="AC35" s="3"/>
      <c r="AE35" s="3"/>
      <c r="AF35" s="3"/>
    </row>
    <row r="36" spans="5:35">
      <c r="E36">
        <f t="shared" ref="E36:E45" si="14">4/100</f>
        <v>0.04</v>
      </c>
      <c r="F36">
        <v>0.5</v>
      </c>
      <c r="G36">
        <v>0.44600000000000001</v>
      </c>
      <c r="I36">
        <f t="shared" si="12"/>
        <v>4.0000000000000001E-3</v>
      </c>
      <c r="J36">
        <v>2</v>
      </c>
      <c r="K36">
        <v>0.45700000000000002</v>
      </c>
      <c r="M36">
        <f t="shared" ref="M36:M45" si="15">8/10000</f>
        <v>8.0000000000000004E-4</v>
      </c>
      <c r="N36">
        <v>0.5</v>
      </c>
      <c r="O36">
        <v>0.70699999999999996</v>
      </c>
      <c r="Q36">
        <f t="shared" si="13"/>
        <v>1E-4</v>
      </c>
      <c r="R36">
        <v>1.5</v>
      </c>
      <c r="S36">
        <v>1.4999999999999999E-2</v>
      </c>
      <c r="U36">
        <f t="shared" ref="U36:U45" si="16">8/10000</f>
        <v>8.0000000000000004E-4</v>
      </c>
      <c r="V36">
        <v>0.5</v>
      </c>
      <c r="W36">
        <v>0.31</v>
      </c>
      <c r="X36" s="5"/>
      <c r="Y36" s="1"/>
      <c r="AB36" s="3"/>
      <c r="AC36" s="3"/>
      <c r="AE36" s="3"/>
      <c r="AF36" s="3"/>
    </row>
    <row r="37" spans="5:35">
      <c r="E37">
        <f t="shared" si="14"/>
        <v>0.04</v>
      </c>
      <c r="F37">
        <v>2</v>
      </c>
      <c r="G37">
        <v>0.68799999999999994</v>
      </c>
      <c r="I37">
        <f t="shared" si="12"/>
        <v>4.0000000000000001E-3</v>
      </c>
      <c r="J37">
        <v>5</v>
      </c>
      <c r="K37">
        <v>0.58599999999999997</v>
      </c>
      <c r="M37">
        <f t="shared" si="15"/>
        <v>8.0000000000000004E-4</v>
      </c>
      <c r="N37">
        <v>2</v>
      </c>
      <c r="O37">
        <v>0.64</v>
      </c>
      <c r="Q37">
        <f t="shared" si="13"/>
        <v>1E-4</v>
      </c>
      <c r="R37">
        <v>2.5</v>
      </c>
      <c r="S37">
        <v>2.1000000000000001E-2</v>
      </c>
      <c r="U37">
        <f t="shared" si="16"/>
        <v>8.0000000000000004E-4</v>
      </c>
      <c r="V37">
        <v>2</v>
      </c>
      <c r="W37">
        <v>0.40699999999999997</v>
      </c>
      <c r="X37" s="5"/>
      <c r="Y37" s="4"/>
      <c r="Z37" s="4"/>
      <c r="AB37" s="3"/>
      <c r="AC37" s="3"/>
      <c r="AE37" s="3"/>
      <c r="AF37" s="3"/>
    </row>
    <row r="38" spans="5:35">
      <c r="E38">
        <f t="shared" si="14"/>
        <v>0.04</v>
      </c>
      <c r="F38">
        <v>5</v>
      </c>
      <c r="G38">
        <v>0.61099999999999999</v>
      </c>
      <c r="I38">
        <f t="shared" si="12"/>
        <v>4.0000000000000001E-3</v>
      </c>
      <c r="J38">
        <v>10</v>
      </c>
      <c r="K38">
        <v>0.51600000000000001</v>
      </c>
      <c r="M38">
        <f t="shared" si="15"/>
        <v>8.0000000000000004E-4</v>
      </c>
      <c r="N38">
        <v>5</v>
      </c>
      <c r="O38">
        <v>0.56899999999999995</v>
      </c>
      <c r="Q38">
        <f t="shared" si="13"/>
        <v>1E-4</v>
      </c>
      <c r="R38">
        <v>4</v>
      </c>
      <c r="S38">
        <v>2.1000000000000001E-2</v>
      </c>
      <c r="U38">
        <f t="shared" si="16"/>
        <v>8.0000000000000004E-4</v>
      </c>
      <c r="V38">
        <v>5</v>
      </c>
      <c r="W38">
        <v>0.38800000000000001</v>
      </c>
    </row>
    <row r="39" spans="5:35">
      <c r="E39">
        <f t="shared" si="14"/>
        <v>0.04</v>
      </c>
      <c r="F39">
        <v>10</v>
      </c>
      <c r="G39">
        <v>0.59499999999999997</v>
      </c>
      <c r="I39">
        <f t="shared" si="12"/>
        <v>4.0000000000000001E-3</v>
      </c>
      <c r="J39">
        <v>20</v>
      </c>
      <c r="K39">
        <v>0.53700000000000003</v>
      </c>
      <c r="M39">
        <f t="shared" si="15"/>
        <v>8.0000000000000004E-4</v>
      </c>
      <c r="N39">
        <v>10</v>
      </c>
      <c r="O39">
        <v>0.498</v>
      </c>
      <c r="Q39">
        <f t="shared" si="13"/>
        <v>1E-4</v>
      </c>
      <c r="R39">
        <v>5</v>
      </c>
      <c r="S39">
        <v>2.1000000000000001E-2</v>
      </c>
      <c r="U39">
        <f t="shared" si="16"/>
        <v>8.0000000000000004E-4</v>
      </c>
      <c r="V39">
        <v>10</v>
      </c>
      <c r="W39">
        <v>0.375</v>
      </c>
    </row>
    <row r="40" spans="5:35">
      <c r="E40">
        <f t="shared" si="14"/>
        <v>0.04</v>
      </c>
      <c r="F40">
        <v>20</v>
      </c>
      <c r="G40">
        <v>0.54900000000000004</v>
      </c>
      <c r="I40">
        <f t="shared" si="12"/>
        <v>4.0000000000000001E-3</v>
      </c>
      <c r="J40">
        <v>40</v>
      </c>
      <c r="K40">
        <v>0.52500000000000002</v>
      </c>
      <c r="M40">
        <f t="shared" si="15"/>
        <v>8.0000000000000004E-4</v>
      </c>
      <c r="N40">
        <v>20</v>
      </c>
      <c r="O40">
        <v>0.34100000000000003</v>
      </c>
      <c r="Q40">
        <f t="shared" si="13"/>
        <v>1E-4</v>
      </c>
      <c r="R40">
        <v>7</v>
      </c>
      <c r="S40">
        <v>2.3E-2</v>
      </c>
      <c r="U40">
        <f t="shared" si="16"/>
        <v>8.0000000000000004E-4</v>
      </c>
      <c r="V40">
        <v>20</v>
      </c>
      <c r="W40">
        <v>0.36599999999999999</v>
      </c>
    </row>
    <row r="41" spans="5:35">
      <c r="E41">
        <f t="shared" si="14"/>
        <v>0.04</v>
      </c>
      <c r="F41">
        <v>40</v>
      </c>
      <c r="G41">
        <v>0.52400000000000002</v>
      </c>
      <c r="I41">
        <f t="shared" si="12"/>
        <v>4.0000000000000001E-3</v>
      </c>
      <c r="J41">
        <v>60</v>
      </c>
      <c r="K41">
        <v>0.45900000000000002</v>
      </c>
      <c r="M41">
        <f t="shared" si="15"/>
        <v>8.0000000000000004E-4</v>
      </c>
      <c r="N41">
        <v>40</v>
      </c>
      <c r="O41">
        <v>0.27600000000000002</v>
      </c>
      <c r="Q41">
        <f t="shared" si="13"/>
        <v>1E-4</v>
      </c>
      <c r="R41">
        <v>10</v>
      </c>
      <c r="S41">
        <v>2.8000000000000001E-2</v>
      </c>
      <c r="U41">
        <f t="shared" si="16"/>
        <v>8.0000000000000004E-4</v>
      </c>
      <c r="V41">
        <v>40</v>
      </c>
      <c r="W41">
        <v>0.33100000000000002</v>
      </c>
    </row>
    <row r="42" spans="5:35">
      <c r="E42">
        <f t="shared" si="14"/>
        <v>0.04</v>
      </c>
      <c r="F42">
        <v>60</v>
      </c>
      <c r="G42">
        <v>0.44900000000000001</v>
      </c>
      <c r="I42">
        <f t="shared" si="12"/>
        <v>4.0000000000000001E-3</v>
      </c>
      <c r="J42">
        <v>80</v>
      </c>
      <c r="K42">
        <v>0.34599999999999997</v>
      </c>
      <c r="M42">
        <f t="shared" si="15"/>
        <v>8.0000000000000004E-4</v>
      </c>
      <c r="N42">
        <v>60</v>
      </c>
      <c r="O42">
        <v>0.182</v>
      </c>
      <c r="Q42">
        <f t="shared" si="13"/>
        <v>1E-4</v>
      </c>
      <c r="R42">
        <v>15</v>
      </c>
      <c r="S42">
        <v>2.5999999999999999E-2</v>
      </c>
      <c r="U42">
        <f t="shared" si="16"/>
        <v>8.0000000000000004E-4</v>
      </c>
      <c r="V42">
        <v>60</v>
      </c>
      <c r="W42">
        <v>0.27200000000000002</v>
      </c>
    </row>
    <row r="43" spans="5:35">
      <c r="E43">
        <f t="shared" si="14"/>
        <v>0.04</v>
      </c>
      <c r="F43">
        <v>80</v>
      </c>
      <c r="G43">
        <v>0.36299999999999999</v>
      </c>
      <c r="I43">
        <f t="shared" si="12"/>
        <v>4.0000000000000001E-3</v>
      </c>
      <c r="J43">
        <v>100</v>
      </c>
      <c r="K43">
        <v>0.309</v>
      </c>
      <c r="M43">
        <f t="shared" si="15"/>
        <v>8.0000000000000004E-4</v>
      </c>
      <c r="N43">
        <v>80</v>
      </c>
      <c r="O43">
        <v>0.10199999999999999</v>
      </c>
      <c r="Q43">
        <f t="shared" si="13"/>
        <v>1E-4</v>
      </c>
      <c r="R43">
        <v>20</v>
      </c>
      <c r="S43">
        <v>2.3E-2</v>
      </c>
      <c r="U43">
        <f t="shared" si="16"/>
        <v>8.0000000000000004E-4</v>
      </c>
      <c r="V43">
        <v>80</v>
      </c>
      <c r="W43">
        <v>0.224</v>
      </c>
    </row>
    <row r="44" spans="5:35">
      <c r="E44">
        <f t="shared" si="14"/>
        <v>0.04</v>
      </c>
      <c r="F44">
        <v>100</v>
      </c>
      <c r="G44">
        <v>0.37</v>
      </c>
      <c r="I44">
        <f t="shared" si="12"/>
        <v>4.0000000000000001E-3</v>
      </c>
      <c r="J44">
        <v>120</v>
      </c>
      <c r="K44">
        <v>0.3</v>
      </c>
      <c r="M44">
        <f t="shared" si="15"/>
        <v>8.0000000000000004E-4</v>
      </c>
      <c r="N44">
        <v>100</v>
      </c>
      <c r="O44">
        <v>8.5999999999999993E-2</v>
      </c>
      <c r="Q44">
        <f t="shared" si="13"/>
        <v>1E-4</v>
      </c>
      <c r="R44">
        <v>25</v>
      </c>
      <c r="S44">
        <v>2.3E-2</v>
      </c>
      <c r="U44">
        <f t="shared" si="16"/>
        <v>8.0000000000000004E-4</v>
      </c>
      <c r="V44">
        <v>100</v>
      </c>
      <c r="W44">
        <v>0.192</v>
      </c>
    </row>
    <row r="45" spans="5:35">
      <c r="E45">
        <f t="shared" si="14"/>
        <v>0.04</v>
      </c>
      <c r="F45">
        <v>120</v>
      </c>
      <c r="G45">
        <v>0.30299999999999999</v>
      </c>
      <c r="I45">
        <v>5.0000000000000001E-3</v>
      </c>
      <c r="J45">
        <v>0</v>
      </c>
      <c r="K45">
        <v>0.879</v>
      </c>
      <c r="M45">
        <f t="shared" si="15"/>
        <v>8.0000000000000004E-4</v>
      </c>
      <c r="N45">
        <v>120</v>
      </c>
      <c r="O45">
        <v>7.1999999999999995E-2</v>
      </c>
      <c r="Q45">
        <f t="shared" si="13"/>
        <v>1E-4</v>
      </c>
      <c r="R45">
        <v>30</v>
      </c>
      <c r="S45">
        <v>2.1999999999999999E-2</v>
      </c>
      <c r="U45">
        <f t="shared" si="16"/>
        <v>8.0000000000000004E-4</v>
      </c>
      <c r="V45">
        <v>120</v>
      </c>
      <c r="W45">
        <v>0.13</v>
      </c>
    </row>
    <row r="46" spans="5:35">
      <c r="E46">
        <v>0.05</v>
      </c>
      <c r="F46">
        <v>0</v>
      </c>
      <c r="G46">
        <v>1</v>
      </c>
      <c r="I46">
        <v>5.0000000000000001E-3</v>
      </c>
      <c r="J46">
        <v>0.5</v>
      </c>
      <c r="K46">
        <v>0.43</v>
      </c>
      <c r="M46">
        <f>16/10000</f>
        <v>1.6000000000000001E-3</v>
      </c>
      <c r="N46">
        <v>0</v>
      </c>
      <c r="O46">
        <v>1</v>
      </c>
      <c r="Q46">
        <f t="shared" si="13"/>
        <v>1E-4</v>
      </c>
      <c r="R46">
        <v>40</v>
      </c>
      <c r="S46">
        <v>1.7999999999999999E-2</v>
      </c>
      <c r="U46">
        <f>16/10000</f>
        <v>1.6000000000000001E-3</v>
      </c>
      <c r="V46">
        <v>0</v>
      </c>
      <c r="W46">
        <v>0.75</v>
      </c>
    </row>
    <row r="47" spans="5:35">
      <c r="E47">
        <v>0.05</v>
      </c>
      <c r="F47">
        <v>0.5</v>
      </c>
      <c r="G47">
        <v>0.68300000000000005</v>
      </c>
      <c r="I47">
        <v>5.0000000000000001E-3</v>
      </c>
      <c r="J47">
        <v>2</v>
      </c>
      <c r="K47">
        <v>0.47799999999999998</v>
      </c>
      <c r="M47">
        <f t="shared" ref="M47:M56" si="17">16/10000</f>
        <v>1.6000000000000001E-3</v>
      </c>
      <c r="N47">
        <v>0.5</v>
      </c>
      <c r="O47">
        <v>0.64</v>
      </c>
      <c r="Q47">
        <f t="shared" si="13"/>
        <v>1E-4</v>
      </c>
      <c r="R47">
        <v>50</v>
      </c>
      <c r="S47">
        <v>0.01</v>
      </c>
      <c r="U47">
        <f t="shared" ref="U47:U56" si="18">16/10000</f>
        <v>1.6000000000000001E-3</v>
      </c>
      <c r="V47">
        <v>0.5</v>
      </c>
      <c r="W47">
        <v>0.36899999999999999</v>
      </c>
    </row>
    <row r="48" spans="5:35">
      <c r="E48">
        <v>0.05</v>
      </c>
      <c r="F48">
        <v>2</v>
      </c>
      <c r="G48">
        <v>0.76300000000000001</v>
      </c>
      <c r="I48">
        <v>5.0000000000000001E-3</v>
      </c>
      <c r="J48">
        <v>5</v>
      </c>
      <c r="K48">
        <v>0.57899999999999996</v>
      </c>
      <c r="M48">
        <f t="shared" si="17"/>
        <v>1.6000000000000001E-3</v>
      </c>
      <c r="N48">
        <v>2</v>
      </c>
      <c r="O48">
        <v>0.60499999999999998</v>
      </c>
      <c r="Q48">
        <f t="shared" si="13"/>
        <v>1E-4</v>
      </c>
      <c r="R48">
        <v>60</v>
      </c>
      <c r="S48">
        <v>5.0000000000000001E-3</v>
      </c>
      <c r="U48">
        <f t="shared" si="18"/>
        <v>1.6000000000000001E-3</v>
      </c>
      <c r="V48">
        <v>2</v>
      </c>
      <c r="W48">
        <v>0.36599999999999999</v>
      </c>
    </row>
    <row r="49" spans="5:28">
      <c r="E49">
        <v>0.05</v>
      </c>
      <c r="F49">
        <v>5</v>
      </c>
      <c r="G49">
        <v>0.72199999999999998</v>
      </c>
      <c r="I49">
        <v>5.0000000000000001E-3</v>
      </c>
      <c r="J49">
        <v>10</v>
      </c>
      <c r="K49">
        <v>0.59599999999999997</v>
      </c>
      <c r="M49">
        <f t="shared" si="17"/>
        <v>1.6000000000000001E-3</v>
      </c>
      <c r="N49">
        <v>5</v>
      </c>
      <c r="O49">
        <v>0.57599999999999996</v>
      </c>
      <c r="Q49">
        <f>0.6/10000</f>
        <v>5.9999999999999995E-5</v>
      </c>
      <c r="R49">
        <v>0</v>
      </c>
      <c r="S49">
        <v>0.82</v>
      </c>
      <c r="U49">
        <f t="shared" si="18"/>
        <v>1.6000000000000001E-3</v>
      </c>
      <c r="V49">
        <v>5</v>
      </c>
      <c r="W49">
        <v>0.40899999999999997</v>
      </c>
    </row>
    <row r="50" spans="5:28">
      <c r="E50">
        <v>0.05</v>
      </c>
      <c r="F50">
        <v>10</v>
      </c>
      <c r="G50">
        <v>0.69299999999999995</v>
      </c>
      <c r="I50">
        <v>5.0000000000000001E-3</v>
      </c>
      <c r="J50">
        <v>20</v>
      </c>
      <c r="K50">
        <v>0.52600000000000002</v>
      </c>
      <c r="M50">
        <f t="shared" si="17"/>
        <v>1.6000000000000001E-3</v>
      </c>
      <c r="N50">
        <v>10</v>
      </c>
      <c r="O50">
        <v>0.51200000000000001</v>
      </c>
      <c r="Q50">
        <f t="shared" ref="Q50:Q61" si="19">0.6/10000</f>
        <v>5.9999999999999995E-5</v>
      </c>
      <c r="R50">
        <v>0.5</v>
      </c>
      <c r="S50">
        <v>1.2999999999999999E-2</v>
      </c>
      <c r="U50">
        <f t="shared" si="18"/>
        <v>1.6000000000000001E-3</v>
      </c>
      <c r="V50">
        <v>10</v>
      </c>
      <c r="W50">
        <v>0.38700000000000001</v>
      </c>
      <c r="Z50" s="1"/>
      <c r="AA50" s="1"/>
      <c r="AB50" s="1"/>
    </row>
    <row r="51" spans="5:28">
      <c r="E51">
        <v>0.05</v>
      </c>
      <c r="F51">
        <v>20</v>
      </c>
      <c r="G51">
        <v>0.58499999999999996</v>
      </c>
      <c r="I51">
        <v>5.0000000000000001E-3</v>
      </c>
      <c r="J51">
        <v>40</v>
      </c>
      <c r="K51">
        <v>0.49099999999999999</v>
      </c>
      <c r="M51">
        <f t="shared" si="17"/>
        <v>1.6000000000000001E-3</v>
      </c>
      <c r="N51">
        <v>20</v>
      </c>
      <c r="O51">
        <v>0.37</v>
      </c>
      <c r="Q51">
        <f t="shared" si="19"/>
        <v>5.9999999999999995E-5</v>
      </c>
      <c r="R51">
        <v>1.5</v>
      </c>
      <c r="S51">
        <v>1.7999999999999999E-2</v>
      </c>
      <c r="U51">
        <f t="shared" si="18"/>
        <v>1.6000000000000001E-3</v>
      </c>
      <c r="V51">
        <v>20</v>
      </c>
      <c r="W51">
        <v>0.36299999999999999</v>
      </c>
      <c r="Z51" s="1"/>
      <c r="AA51" s="1"/>
      <c r="AB51" s="1"/>
    </row>
    <row r="52" spans="5:28">
      <c r="E52">
        <v>0.05</v>
      </c>
      <c r="F52">
        <v>40</v>
      </c>
      <c r="G52">
        <v>0.53200000000000003</v>
      </c>
      <c r="I52">
        <v>5.0000000000000001E-3</v>
      </c>
      <c r="J52">
        <v>60</v>
      </c>
      <c r="K52">
        <v>0.47</v>
      </c>
      <c r="M52">
        <f t="shared" si="17"/>
        <v>1.6000000000000001E-3</v>
      </c>
      <c r="N52">
        <v>40</v>
      </c>
      <c r="O52">
        <v>0.18099999999999999</v>
      </c>
      <c r="Q52">
        <f t="shared" si="19"/>
        <v>5.9999999999999995E-5</v>
      </c>
      <c r="R52">
        <v>3</v>
      </c>
      <c r="S52">
        <v>1.7999999999999999E-2</v>
      </c>
      <c r="U52">
        <f t="shared" si="18"/>
        <v>1.6000000000000001E-3</v>
      </c>
      <c r="V52">
        <v>40</v>
      </c>
      <c r="W52">
        <v>0.34599999999999997</v>
      </c>
    </row>
    <row r="53" spans="5:28">
      <c r="E53">
        <v>0.05</v>
      </c>
      <c r="F53">
        <v>60</v>
      </c>
      <c r="G53">
        <v>0.45300000000000001</v>
      </c>
      <c r="I53">
        <v>5.0000000000000001E-3</v>
      </c>
      <c r="J53">
        <v>80</v>
      </c>
      <c r="K53">
        <v>0.38800000000000001</v>
      </c>
      <c r="M53">
        <f t="shared" si="17"/>
        <v>1.6000000000000001E-3</v>
      </c>
      <c r="N53">
        <v>60</v>
      </c>
      <c r="O53">
        <v>8.8999999999999996E-2</v>
      </c>
      <c r="Q53">
        <f t="shared" si="19"/>
        <v>5.9999999999999995E-5</v>
      </c>
      <c r="R53">
        <v>5</v>
      </c>
      <c r="S53">
        <v>2.1999999999999999E-2</v>
      </c>
      <c r="U53">
        <f t="shared" si="18"/>
        <v>1.6000000000000001E-3</v>
      </c>
      <c r="V53">
        <v>60</v>
      </c>
      <c r="W53">
        <v>0.29299999999999998</v>
      </c>
    </row>
    <row r="54" spans="5:28">
      <c r="E54">
        <v>0.05</v>
      </c>
      <c r="F54">
        <v>80</v>
      </c>
      <c r="G54">
        <v>0.44</v>
      </c>
      <c r="I54">
        <v>5.0000000000000001E-3</v>
      </c>
      <c r="J54">
        <v>100</v>
      </c>
      <c r="K54">
        <v>0.35299999999999998</v>
      </c>
      <c r="M54">
        <f t="shared" si="17"/>
        <v>1.6000000000000001E-3</v>
      </c>
      <c r="N54">
        <v>80</v>
      </c>
      <c r="O54">
        <v>6.0999999999999999E-2</v>
      </c>
      <c r="Q54">
        <f t="shared" si="19"/>
        <v>5.9999999999999995E-5</v>
      </c>
      <c r="R54">
        <v>6</v>
      </c>
      <c r="S54">
        <v>1.9E-2</v>
      </c>
      <c r="U54">
        <f t="shared" si="18"/>
        <v>1.6000000000000001E-3</v>
      </c>
      <c r="V54">
        <v>80</v>
      </c>
      <c r="W54">
        <v>0.25900000000000001</v>
      </c>
    </row>
    <row r="55" spans="5:28">
      <c r="E55">
        <v>0.05</v>
      </c>
      <c r="F55">
        <v>100</v>
      </c>
      <c r="G55">
        <v>0.38700000000000001</v>
      </c>
      <c r="I55">
        <f>1/10000</f>
        <v>1E-4</v>
      </c>
      <c r="J55">
        <v>0</v>
      </c>
      <c r="K55">
        <v>1</v>
      </c>
      <c r="M55">
        <f t="shared" si="17"/>
        <v>1.6000000000000001E-3</v>
      </c>
      <c r="N55">
        <v>100</v>
      </c>
      <c r="O55">
        <v>3.6999999999999998E-2</v>
      </c>
      <c r="Q55">
        <f t="shared" si="19"/>
        <v>5.9999999999999995E-5</v>
      </c>
      <c r="R55">
        <v>8</v>
      </c>
      <c r="S55">
        <v>1.7999999999999999E-2</v>
      </c>
      <c r="U55">
        <f t="shared" si="18"/>
        <v>1.6000000000000001E-3</v>
      </c>
      <c r="V55">
        <v>100</v>
      </c>
      <c r="W55">
        <v>0.23599999999999999</v>
      </c>
    </row>
    <row r="56" spans="5:28">
      <c r="E56">
        <v>0.05</v>
      </c>
      <c r="F56">
        <v>120</v>
      </c>
      <c r="G56">
        <v>0.31900000000000001</v>
      </c>
      <c r="I56">
        <f t="shared" ref="I56:I65" si="20">1/10000</f>
        <v>1E-4</v>
      </c>
      <c r="J56">
        <v>0.5</v>
      </c>
      <c r="K56">
        <v>0.70899999999999996</v>
      </c>
      <c r="M56">
        <f t="shared" si="17"/>
        <v>1.6000000000000001E-3</v>
      </c>
      <c r="N56">
        <v>120</v>
      </c>
      <c r="O56">
        <v>2.7E-2</v>
      </c>
      <c r="Q56">
        <f t="shared" si="19"/>
        <v>5.9999999999999995E-5</v>
      </c>
      <c r="R56">
        <v>10</v>
      </c>
      <c r="S56">
        <v>1.7999999999999999E-2</v>
      </c>
      <c r="U56">
        <f t="shared" si="18"/>
        <v>1.6000000000000001E-3</v>
      </c>
      <c r="V56">
        <v>120</v>
      </c>
      <c r="W56">
        <v>0.221</v>
      </c>
    </row>
    <row r="57" spans="5:28">
      <c r="E57">
        <v>0.06</v>
      </c>
      <c r="F57">
        <v>0</v>
      </c>
      <c r="G57">
        <v>1</v>
      </c>
      <c r="I57">
        <f t="shared" si="20"/>
        <v>1E-4</v>
      </c>
      <c r="J57">
        <v>2</v>
      </c>
      <c r="K57">
        <v>0.56999999999999995</v>
      </c>
      <c r="M57">
        <f>32/10000</f>
        <v>3.2000000000000002E-3</v>
      </c>
      <c r="N57">
        <v>0</v>
      </c>
      <c r="O57">
        <v>0.95599999999999996</v>
      </c>
      <c r="Q57">
        <f t="shared" si="19"/>
        <v>5.9999999999999995E-5</v>
      </c>
      <c r="R57">
        <v>20</v>
      </c>
      <c r="S57">
        <v>1.7000000000000001E-2</v>
      </c>
      <c r="U57">
        <f>5/1000</f>
        <v>5.0000000000000001E-3</v>
      </c>
      <c r="V57">
        <v>0</v>
      </c>
      <c r="W57">
        <v>0.70699999999999996</v>
      </c>
    </row>
    <row r="58" spans="5:28">
      <c r="E58">
        <v>0.06</v>
      </c>
      <c r="F58">
        <v>0.5</v>
      </c>
      <c r="G58">
        <v>0.61199999999999999</v>
      </c>
      <c r="I58">
        <f t="shared" si="20"/>
        <v>1E-4</v>
      </c>
      <c r="J58">
        <v>5</v>
      </c>
      <c r="K58">
        <v>0.64800000000000002</v>
      </c>
      <c r="M58">
        <f t="shared" ref="M58:M67" si="21">32/10000</f>
        <v>3.2000000000000002E-3</v>
      </c>
      <c r="N58">
        <v>0.5</v>
      </c>
      <c r="O58">
        <v>0.52300000000000002</v>
      </c>
      <c r="Q58">
        <f t="shared" si="19"/>
        <v>5.9999999999999995E-5</v>
      </c>
      <c r="R58">
        <v>30</v>
      </c>
      <c r="S58">
        <v>1.6E-2</v>
      </c>
      <c r="U58">
        <f t="shared" ref="U58:U67" si="22">5/1000</f>
        <v>5.0000000000000001E-3</v>
      </c>
      <c r="V58">
        <v>0.5</v>
      </c>
      <c r="W58">
        <v>0.38400000000000001</v>
      </c>
    </row>
    <row r="59" spans="5:28">
      <c r="E59">
        <v>0.06</v>
      </c>
      <c r="F59">
        <v>2</v>
      </c>
      <c r="G59">
        <v>0.69399999999999995</v>
      </c>
      <c r="I59">
        <f t="shared" si="20"/>
        <v>1E-4</v>
      </c>
      <c r="J59">
        <v>10</v>
      </c>
      <c r="K59">
        <v>0.64700000000000002</v>
      </c>
      <c r="M59">
        <f t="shared" si="21"/>
        <v>3.2000000000000002E-3</v>
      </c>
      <c r="N59">
        <v>2</v>
      </c>
      <c r="O59">
        <v>0.69199999999999995</v>
      </c>
      <c r="Q59">
        <f t="shared" si="19"/>
        <v>5.9999999999999995E-5</v>
      </c>
      <c r="R59">
        <v>40</v>
      </c>
      <c r="S59">
        <v>1.6E-2</v>
      </c>
      <c r="U59">
        <f t="shared" si="22"/>
        <v>5.0000000000000001E-3</v>
      </c>
      <c r="V59">
        <v>2</v>
      </c>
      <c r="W59">
        <v>0.39200000000000002</v>
      </c>
    </row>
    <row r="60" spans="5:28">
      <c r="E60">
        <v>0.06</v>
      </c>
      <c r="F60">
        <v>5</v>
      </c>
      <c r="G60">
        <v>0.68600000000000005</v>
      </c>
      <c r="I60">
        <f t="shared" si="20"/>
        <v>1E-4</v>
      </c>
      <c r="J60">
        <v>20</v>
      </c>
      <c r="K60">
        <v>0.66700000000000004</v>
      </c>
      <c r="M60">
        <f t="shared" si="21"/>
        <v>3.2000000000000002E-3</v>
      </c>
      <c r="N60">
        <v>5</v>
      </c>
      <c r="O60">
        <v>0.58199999999999996</v>
      </c>
      <c r="Q60">
        <f t="shared" si="19"/>
        <v>5.9999999999999995E-5</v>
      </c>
      <c r="R60">
        <v>50</v>
      </c>
      <c r="S60">
        <v>1.6E-2</v>
      </c>
      <c r="U60">
        <f t="shared" si="22"/>
        <v>5.0000000000000001E-3</v>
      </c>
      <c r="V60">
        <v>5</v>
      </c>
      <c r="W60">
        <v>0.38300000000000001</v>
      </c>
    </row>
    <row r="61" spans="5:28">
      <c r="E61">
        <v>0.06</v>
      </c>
      <c r="F61">
        <v>10</v>
      </c>
      <c r="G61">
        <v>0.65</v>
      </c>
      <c r="I61">
        <f t="shared" si="20"/>
        <v>1E-4</v>
      </c>
      <c r="J61">
        <v>40</v>
      </c>
      <c r="K61">
        <v>0.63800000000000001</v>
      </c>
      <c r="M61">
        <f t="shared" si="21"/>
        <v>3.2000000000000002E-3</v>
      </c>
      <c r="N61">
        <v>10</v>
      </c>
      <c r="O61">
        <v>0.51400000000000001</v>
      </c>
      <c r="Q61">
        <f t="shared" si="19"/>
        <v>5.9999999999999995E-5</v>
      </c>
      <c r="R61">
        <v>60</v>
      </c>
      <c r="S61">
        <v>1.6E-2</v>
      </c>
      <c r="U61">
        <f t="shared" si="22"/>
        <v>5.0000000000000001E-3</v>
      </c>
      <c r="V61">
        <v>10</v>
      </c>
      <c r="W61">
        <v>0.371</v>
      </c>
    </row>
    <row r="62" spans="5:28">
      <c r="E62">
        <v>0.06</v>
      </c>
      <c r="F62">
        <v>20</v>
      </c>
      <c r="G62">
        <v>0.59</v>
      </c>
      <c r="I62">
        <f t="shared" si="20"/>
        <v>1E-4</v>
      </c>
      <c r="J62">
        <v>60</v>
      </c>
      <c r="K62">
        <v>0.65400000000000003</v>
      </c>
      <c r="M62">
        <f t="shared" si="21"/>
        <v>3.2000000000000002E-3</v>
      </c>
      <c r="N62">
        <v>20</v>
      </c>
      <c r="O62">
        <v>0.33400000000000002</v>
      </c>
      <c r="Q62">
        <f>0.3/10000</f>
        <v>2.9999999999999997E-5</v>
      </c>
      <c r="R62">
        <v>0</v>
      </c>
      <c r="S62">
        <v>4.8000000000000001E-2</v>
      </c>
      <c r="U62">
        <f t="shared" si="22"/>
        <v>5.0000000000000001E-3</v>
      </c>
      <c r="V62">
        <v>20</v>
      </c>
      <c r="W62">
        <v>0.35599999999999998</v>
      </c>
    </row>
    <row r="63" spans="5:28">
      <c r="E63">
        <v>0.06</v>
      </c>
      <c r="F63">
        <v>40</v>
      </c>
      <c r="G63">
        <v>0.57299999999999995</v>
      </c>
      <c r="I63">
        <f t="shared" si="20"/>
        <v>1E-4</v>
      </c>
      <c r="J63">
        <v>80</v>
      </c>
      <c r="K63">
        <v>0.63400000000000001</v>
      </c>
      <c r="M63">
        <f t="shared" si="21"/>
        <v>3.2000000000000002E-3</v>
      </c>
      <c r="N63">
        <v>40</v>
      </c>
      <c r="O63">
        <v>0.19</v>
      </c>
      <c r="Q63">
        <f t="shared" ref="Q63:Q78" si="23">0.3/10000</f>
        <v>2.9999999999999997E-5</v>
      </c>
      <c r="R63">
        <v>0.5</v>
      </c>
      <c r="S63">
        <v>0.09</v>
      </c>
      <c r="U63">
        <f t="shared" si="22"/>
        <v>5.0000000000000001E-3</v>
      </c>
      <c r="V63">
        <v>40</v>
      </c>
      <c r="W63">
        <v>0.32400000000000001</v>
      </c>
    </row>
    <row r="64" spans="5:28">
      <c r="E64">
        <v>0.06</v>
      </c>
      <c r="F64">
        <v>60</v>
      </c>
      <c r="G64">
        <v>0.496</v>
      </c>
      <c r="I64">
        <f t="shared" si="20"/>
        <v>1E-4</v>
      </c>
      <c r="J64">
        <v>100</v>
      </c>
      <c r="K64">
        <v>0.59099999999999997</v>
      </c>
      <c r="M64">
        <f t="shared" si="21"/>
        <v>3.2000000000000002E-3</v>
      </c>
      <c r="N64">
        <v>60</v>
      </c>
      <c r="O64">
        <v>8.2000000000000003E-2</v>
      </c>
      <c r="Q64">
        <f t="shared" si="23"/>
        <v>2.9999999999999997E-5</v>
      </c>
      <c r="R64">
        <v>1.5</v>
      </c>
      <c r="S64">
        <v>1.0999999999999999E-2</v>
      </c>
      <c r="U64">
        <f t="shared" si="22"/>
        <v>5.0000000000000001E-3</v>
      </c>
      <c r="V64">
        <v>60</v>
      </c>
      <c r="W64">
        <v>0.28000000000000003</v>
      </c>
    </row>
    <row r="65" spans="5:27">
      <c r="E65">
        <v>0.06</v>
      </c>
      <c r="F65">
        <v>80</v>
      </c>
      <c r="G65">
        <v>0.40100000000000002</v>
      </c>
      <c r="I65">
        <f t="shared" si="20"/>
        <v>1E-4</v>
      </c>
      <c r="J65">
        <v>120</v>
      </c>
      <c r="K65">
        <v>0.56299999999999994</v>
      </c>
      <c r="M65">
        <f t="shared" si="21"/>
        <v>3.2000000000000002E-3</v>
      </c>
      <c r="N65">
        <v>80</v>
      </c>
      <c r="O65">
        <v>3.5999999999999997E-2</v>
      </c>
      <c r="Q65">
        <f t="shared" si="23"/>
        <v>2.9999999999999997E-5</v>
      </c>
      <c r="R65">
        <v>3</v>
      </c>
      <c r="S65">
        <v>1.4999999999999999E-2</v>
      </c>
      <c r="U65">
        <f t="shared" si="22"/>
        <v>5.0000000000000001E-3</v>
      </c>
      <c r="V65">
        <v>80</v>
      </c>
      <c r="W65">
        <v>0.26600000000000001</v>
      </c>
    </row>
    <row r="66" spans="5:27">
      <c r="E66">
        <v>0.06</v>
      </c>
      <c r="F66">
        <v>100</v>
      </c>
      <c r="G66">
        <v>0.35</v>
      </c>
      <c r="I66">
        <f>1/100</f>
        <v>0.01</v>
      </c>
      <c r="J66">
        <v>0</v>
      </c>
      <c r="K66">
        <v>0.876</v>
      </c>
      <c r="M66">
        <f t="shared" si="21"/>
        <v>3.2000000000000002E-3</v>
      </c>
      <c r="N66">
        <v>100</v>
      </c>
      <c r="O66">
        <v>1.6E-2</v>
      </c>
      <c r="Q66">
        <f t="shared" si="23"/>
        <v>2.9999999999999997E-5</v>
      </c>
      <c r="R66">
        <v>5</v>
      </c>
      <c r="S66">
        <v>1.2999999999999999E-2</v>
      </c>
      <c r="U66">
        <f t="shared" si="22"/>
        <v>5.0000000000000001E-3</v>
      </c>
      <c r="V66">
        <v>100</v>
      </c>
      <c r="W66">
        <v>0.252</v>
      </c>
    </row>
    <row r="67" spans="5:27">
      <c r="E67">
        <v>0.06</v>
      </c>
      <c r="F67">
        <v>120</v>
      </c>
      <c r="G67">
        <v>0.32100000000000001</v>
      </c>
      <c r="I67">
        <f t="shared" ref="I67:I76" si="24">1/100</f>
        <v>0.01</v>
      </c>
      <c r="J67">
        <v>0.5</v>
      </c>
      <c r="K67">
        <v>0.623</v>
      </c>
      <c r="M67">
        <f t="shared" si="21"/>
        <v>3.2000000000000002E-3</v>
      </c>
      <c r="N67">
        <v>120</v>
      </c>
      <c r="O67">
        <v>1.0999999999999999E-2</v>
      </c>
      <c r="Q67">
        <f t="shared" si="23"/>
        <v>2.9999999999999997E-5</v>
      </c>
      <c r="R67">
        <v>7</v>
      </c>
      <c r="S67">
        <v>1.2E-2</v>
      </c>
      <c r="U67">
        <f t="shared" si="22"/>
        <v>5.0000000000000001E-3</v>
      </c>
      <c r="V67">
        <v>120</v>
      </c>
      <c r="W67">
        <v>0.23</v>
      </c>
    </row>
    <row r="68" spans="5:27">
      <c r="I68">
        <f t="shared" si="24"/>
        <v>0.01</v>
      </c>
      <c r="J68">
        <v>2</v>
      </c>
      <c r="K68">
        <v>0.51700000000000002</v>
      </c>
      <c r="M68">
        <f>5/1000</f>
        <v>5.0000000000000001E-3</v>
      </c>
      <c r="N68">
        <v>0</v>
      </c>
      <c r="O68">
        <v>0.97599999999999998</v>
      </c>
      <c r="Q68">
        <f t="shared" si="23"/>
        <v>2.9999999999999997E-5</v>
      </c>
      <c r="R68">
        <v>10</v>
      </c>
      <c r="S68">
        <v>1.0999999999999999E-2</v>
      </c>
      <c r="U68">
        <f>6/1000</f>
        <v>6.0000000000000001E-3</v>
      </c>
      <c r="V68">
        <v>0</v>
      </c>
      <c r="W68">
        <v>0.71499999999999997</v>
      </c>
    </row>
    <row r="69" spans="5:27">
      <c r="I69">
        <f t="shared" si="24"/>
        <v>0.01</v>
      </c>
      <c r="J69">
        <v>5</v>
      </c>
      <c r="K69">
        <v>0.51300000000000001</v>
      </c>
      <c r="M69">
        <f t="shared" ref="M69:M77" si="25">5/1000</f>
        <v>5.0000000000000001E-3</v>
      </c>
      <c r="N69">
        <v>0.5</v>
      </c>
      <c r="O69">
        <v>0.61799999999999999</v>
      </c>
      <c r="Q69">
        <f t="shared" si="23"/>
        <v>2.9999999999999997E-5</v>
      </c>
      <c r="R69">
        <v>12</v>
      </c>
      <c r="S69">
        <v>1.0999999999999999E-2</v>
      </c>
      <c r="U69">
        <f t="shared" ref="U69:U76" si="26">6/1000</f>
        <v>6.0000000000000001E-3</v>
      </c>
      <c r="V69">
        <v>2</v>
      </c>
      <c r="W69">
        <v>0.32500000000000001</v>
      </c>
    </row>
    <row r="70" spans="5:27">
      <c r="I70">
        <f t="shared" si="24"/>
        <v>0.01</v>
      </c>
      <c r="J70">
        <v>10</v>
      </c>
      <c r="K70">
        <v>0.52800000000000002</v>
      </c>
      <c r="M70">
        <f t="shared" si="25"/>
        <v>5.0000000000000001E-3</v>
      </c>
      <c r="N70">
        <v>2</v>
      </c>
      <c r="O70">
        <v>0.64900000000000002</v>
      </c>
      <c r="Q70">
        <f t="shared" si="23"/>
        <v>2.9999999999999997E-5</v>
      </c>
      <c r="R70">
        <v>14</v>
      </c>
      <c r="S70">
        <v>1.0999999999999999E-2</v>
      </c>
      <c r="U70">
        <f t="shared" si="26"/>
        <v>6.0000000000000001E-3</v>
      </c>
      <c r="V70">
        <v>5</v>
      </c>
      <c r="W70">
        <v>0.40600000000000003</v>
      </c>
    </row>
    <row r="71" spans="5:27">
      <c r="I71">
        <f t="shared" si="24"/>
        <v>0.01</v>
      </c>
      <c r="J71">
        <v>20</v>
      </c>
      <c r="K71">
        <v>0.46800000000000003</v>
      </c>
      <c r="M71">
        <f t="shared" si="25"/>
        <v>5.0000000000000001E-3</v>
      </c>
      <c r="N71">
        <v>5</v>
      </c>
      <c r="O71">
        <v>0.622</v>
      </c>
      <c r="Q71">
        <f t="shared" si="23"/>
        <v>2.9999999999999997E-5</v>
      </c>
      <c r="R71">
        <v>16</v>
      </c>
      <c r="S71">
        <v>1.0999999999999999E-2</v>
      </c>
      <c r="U71">
        <f t="shared" si="26"/>
        <v>6.0000000000000001E-3</v>
      </c>
      <c r="V71">
        <v>20</v>
      </c>
      <c r="W71">
        <v>0.39200000000000002</v>
      </c>
    </row>
    <row r="72" spans="5:27">
      <c r="I72">
        <f t="shared" si="24"/>
        <v>0.01</v>
      </c>
      <c r="J72">
        <v>40</v>
      </c>
      <c r="K72">
        <v>0.32800000000000001</v>
      </c>
      <c r="M72">
        <f t="shared" si="25"/>
        <v>5.0000000000000001E-3</v>
      </c>
      <c r="N72">
        <v>10</v>
      </c>
      <c r="O72">
        <v>0.62</v>
      </c>
      <c r="Q72">
        <f t="shared" si="23"/>
        <v>2.9999999999999997E-5</v>
      </c>
      <c r="R72">
        <v>18</v>
      </c>
      <c r="S72">
        <v>0.01</v>
      </c>
      <c r="U72">
        <f t="shared" si="26"/>
        <v>6.0000000000000001E-3</v>
      </c>
      <c r="V72">
        <v>40</v>
      </c>
      <c r="W72">
        <v>0.32500000000000001</v>
      </c>
      <c r="AA72" s="1"/>
    </row>
    <row r="73" spans="5:27">
      <c r="I73">
        <f t="shared" si="24"/>
        <v>0.01</v>
      </c>
      <c r="J73">
        <v>60</v>
      </c>
      <c r="K73">
        <v>0.26700000000000002</v>
      </c>
      <c r="M73">
        <f t="shared" si="25"/>
        <v>5.0000000000000001E-3</v>
      </c>
      <c r="N73">
        <v>20</v>
      </c>
      <c r="O73">
        <v>0.39400000000000002</v>
      </c>
      <c r="Q73">
        <f t="shared" si="23"/>
        <v>2.9999999999999997E-5</v>
      </c>
      <c r="R73">
        <v>20</v>
      </c>
      <c r="S73">
        <v>8.9999999999999993E-3</v>
      </c>
      <c r="U73">
        <f t="shared" si="26"/>
        <v>6.0000000000000001E-3</v>
      </c>
      <c r="V73">
        <v>60</v>
      </c>
      <c r="W73">
        <v>0.29499999999999998</v>
      </c>
    </row>
    <row r="74" spans="5:27">
      <c r="I74">
        <f t="shared" si="24"/>
        <v>0.01</v>
      </c>
      <c r="J74">
        <v>80</v>
      </c>
      <c r="K74">
        <v>0.21199999999999999</v>
      </c>
      <c r="M74">
        <f t="shared" si="25"/>
        <v>5.0000000000000001E-3</v>
      </c>
      <c r="N74">
        <v>40</v>
      </c>
      <c r="O74">
        <v>0.223</v>
      </c>
      <c r="Q74">
        <f t="shared" si="23"/>
        <v>2.9999999999999997E-5</v>
      </c>
      <c r="R74">
        <v>22</v>
      </c>
      <c r="S74">
        <v>8.0000000000000002E-3</v>
      </c>
      <c r="U74">
        <f t="shared" si="26"/>
        <v>6.0000000000000001E-3</v>
      </c>
      <c r="V74">
        <v>80</v>
      </c>
      <c r="W74">
        <v>0.26500000000000001</v>
      </c>
    </row>
    <row r="75" spans="5:27">
      <c r="I75">
        <f t="shared" si="24"/>
        <v>0.01</v>
      </c>
      <c r="J75">
        <v>100</v>
      </c>
      <c r="K75">
        <v>0.187</v>
      </c>
      <c r="M75">
        <f t="shared" si="25"/>
        <v>5.0000000000000001E-3</v>
      </c>
      <c r="N75">
        <v>60</v>
      </c>
      <c r="O75">
        <v>0.13100000000000001</v>
      </c>
      <c r="Q75">
        <f t="shared" si="23"/>
        <v>2.9999999999999997E-5</v>
      </c>
      <c r="R75">
        <v>24</v>
      </c>
      <c r="S75">
        <v>8.0000000000000002E-3</v>
      </c>
      <c r="U75">
        <f t="shared" si="26"/>
        <v>6.0000000000000001E-3</v>
      </c>
      <c r="V75">
        <v>100</v>
      </c>
      <c r="W75">
        <v>0.246</v>
      </c>
    </row>
    <row r="76" spans="5:27">
      <c r="I76">
        <f t="shared" si="24"/>
        <v>0.01</v>
      </c>
      <c r="J76">
        <v>120</v>
      </c>
      <c r="K76">
        <v>0.16</v>
      </c>
      <c r="M76">
        <f t="shared" si="25"/>
        <v>5.0000000000000001E-3</v>
      </c>
      <c r="N76">
        <v>80</v>
      </c>
      <c r="O76">
        <v>7.8E-2</v>
      </c>
      <c r="Q76">
        <f t="shared" si="23"/>
        <v>2.9999999999999997E-5</v>
      </c>
      <c r="R76">
        <v>26</v>
      </c>
      <c r="S76">
        <v>7.0000000000000001E-3</v>
      </c>
      <c r="U76">
        <f t="shared" si="26"/>
        <v>6.0000000000000001E-3</v>
      </c>
      <c r="V76">
        <v>120</v>
      </c>
      <c r="W76">
        <v>0.223</v>
      </c>
    </row>
    <row r="77" spans="5:27">
      <c r="M77">
        <f t="shared" si="25"/>
        <v>5.0000000000000001E-3</v>
      </c>
      <c r="N77">
        <v>100</v>
      </c>
      <c r="O77">
        <v>4.4999999999999998E-2</v>
      </c>
      <c r="Q77">
        <f t="shared" si="23"/>
        <v>2.9999999999999997E-5</v>
      </c>
      <c r="R77">
        <v>28</v>
      </c>
      <c r="S77">
        <v>7.0000000000000001E-3</v>
      </c>
    </row>
    <row r="78" spans="5:27">
      <c r="M78">
        <f>6/1000</f>
        <v>6.0000000000000001E-3</v>
      </c>
      <c r="N78">
        <v>0</v>
      </c>
      <c r="O78">
        <v>0.95699999999999996</v>
      </c>
      <c r="Q78">
        <f t="shared" si="23"/>
        <v>2.9999999999999997E-5</v>
      </c>
      <c r="R78">
        <v>30</v>
      </c>
      <c r="S78">
        <v>7.0000000000000001E-3</v>
      </c>
    </row>
    <row r="79" spans="5:27">
      <c r="M79">
        <f t="shared" ref="M79:M88" si="27">6/1000</f>
        <v>6.0000000000000001E-3</v>
      </c>
      <c r="N79">
        <v>0.5</v>
      </c>
      <c r="O79">
        <v>0.39</v>
      </c>
      <c r="Q79">
        <f>0.15/10000</f>
        <v>1.4999999999999999E-5</v>
      </c>
      <c r="R79">
        <v>0</v>
      </c>
      <c r="S79">
        <v>2.1999999999999999E-2</v>
      </c>
    </row>
    <row r="80" spans="5:27">
      <c r="M80">
        <f t="shared" si="27"/>
        <v>6.0000000000000001E-3</v>
      </c>
      <c r="N80">
        <v>2</v>
      </c>
      <c r="O80">
        <v>0.66500000000000004</v>
      </c>
      <c r="Q80">
        <f t="shared" ref="Q80:Q92" si="28">0.15/10000</f>
        <v>1.4999999999999999E-5</v>
      </c>
      <c r="R80">
        <v>0.5</v>
      </c>
      <c r="S80">
        <v>8.9999999999999993E-3</v>
      </c>
    </row>
    <row r="81" spans="13:19">
      <c r="M81">
        <f t="shared" si="27"/>
        <v>6.0000000000000001E-3</v>
      </c>
      <c r="N81">
        <v>5</v>
      </c>
      <c r="O81">
        <v>0.63500000000000001</v>
      </c>
      <c r="Q81">
        <f t="shared" si="28"/>
        <v>1.4999999999999999E-5</v>
      </c>
      <c r="R81">
        <v>1.5</v>
      </c>
      <c r="S81">
        <v>4.0000000000000001E-3</v>
      </c>
    </row>
    <row r="82" spans="13:19">
      <c r="M82">
        <f t="shared" si="27"/>
        <v>6.0000000000000001E-3</v>
      </c>
      <c r="N82">
        <v>10</v>
      </c>
      <c r="O82">
        <v>0.59599999999999997</v>
      </c>
      <c r="Q82">
        <f t="shared" si="28"/>
        <v>1.4999999999999999E-5</v>
      </c>
      <c r="R82">
        <v>3</v>
      </c>
      <c r="S82">
        <v>1.2E-2</v>
      </c>
    </row>
    <row r="83" spans="13:19">
      <c r="M83">
        <f t="shared" si="27"/>
        <v>6.0000000000000001E-3</v>
      </c>
      <c r="N83">
        <v>20</v>
      </c>
      <c r="O83">
        <v>0.52300000000000002</v>
      </c>
      <c r="Q83">
        <f t="shared" si="28"/>
        <v>1.4999999999999999E-5</v>
      </c>
      <c r="R83">
        <v>4</v>
      </c>
      <c r="S83">
        <v>1.2E-2</v>
      </c>
    </row>
    <row r="84" spans="13:19">
      <c r="M84">
        <f t="shared" si="27"/>
        <v>6.0000000000000001E-3</v>
      </c>
      <c r="N84">
        <v>40</v>
      </c>
      <c r="O84">
        <v>0.39300000000000002</v>
      </c>
      <c r="Q84">
        <f t="shared" si="28"/>
        <v>1.4999999999999999E-5</v>
      </c>
      <c r="R84">
        <v>6</v>
      </c>
      <c r="S84">
        <v>0.01</v>
      </c>
    </row>
    <row r="85" spans="13:19">
      <c r="M85">
        <f t="shared" si="27"/>
        <v>6.0000000000000001E-3</v>
      </c>
      <c r="N85">
        <v>60</v>
      </c>
      <c r="O85">
        <v>0.20200000000000001</v>
      </c>
      <c r="Q85">
        <f t="shared" si="28"/>
        <v>1.4999999999999999E-5</v>
      </c>
      <c r="R85">
        <v>8</v>
      </c>
      <c r="S85">
        <v>8.9999999999999993E-3</v>
      </c>
    </row>
    <row r="86" spans="13:19">
      <c r="M86">
        <f t="shared" si="27"/>
        <v>6.0000000000000001E-3</v>
      </c>
      <c r="N86">
        <v>80</v>
      </c>
      <c r="O86">
        <v>0.106</v>
      </c>
      <c r="Q86">
        <f t="shared" si="28"/>
        <v>1.4999999999999999E-5</v>
      </c>
      <c r="R86">
        <v>12</v>
      </c>
      <c r="S86">
        <v>7.0000000000000001E-3</v>
      </c>
    </row>
    <row r="87" spans="13:19">
      <c r="M87">
        <f t="shared" si="27"/>
        <v>6.0000000000000001E-3</v>
      </c>
      <c r="N87">
        <v>100</v>
      </c>
      <c r="O87">
        <v>5.1999999999999998E-2</v>
      </c>
      <c r="Q87">
        <f t="shared" si="28"/>
        <v>1.4999999999999999E-5</v>
      </c>
      <c r="R87">
        <v>14</v>
      </c>
      <c r="S87">
        <v>6.0000000000000001E-3</v>
      </c>
    </row>
    <row r="88" spans="13:19">
      <c r="M88">
        <f t="shared" si="27"/>
        <v>6.0000000000000001E-3</v>
      </c>
      <c r="N88">
        <v>120</v>
      </c>
      <c r="O88">
        <v>0.01</v>
      </c>
      <c r="Q88">
        <f t="shared" si="28"/>
        <v>1.4999999999999999E-5</v>
      </c>
      <c r="R88">
        <v>16</v>
      </c>
      <c r="S88">
        <v>6.0000000000000001E-3</v>
      </c>
    </row>
    <row r="89" spans="13:19">
      <c r="M89">
        <f>1/100</f>
        <v>0.01</v>
      </c>
      <c r="N89">
        <v>0</v>
      </c>
      <c r="O89">
        <v>0.96</v>
      </c>
      <c r="Q89">
        <f t="shared" si="28"/>
        <v>1.4999999999999999E-5</v>
      </c>
      <c r="R89">
        <v>18</v>
      </c>
      <c r="S89">
        <v>5.0000000000000001E-3</v>
      </c>
    </row>
    <row r="90" spans="13:19">
      <c r="M90">
        <f t="shared" ref="M90:M99" si="29">1/100</f>
        <v>0.01</v>
      </c>
      <c r="N90">
        <v>0.5</v>
      </c>
      <c r="O90">
        <v>0.44400000000000001</v>
      </c>
      <c r="Q90">
        <f t="shared" si="28"/>
        <v>1.4999999999999999E-5</v>
      </c>
      <c r="R90">
        <v>20</v>
      </c>
      <c r="S90">
        <v>5.0000000000000001E-3</v>
      </c>
    </row>
    <row r="91" spans="13:19">
      <c r="M91">
        <f t="shared" si="29"/>
        <v>0.01</v>
      </c>
      <c r="N91">
        <v>2</v>
      </c>
      <c r="O91">
        <v>0.53500000000000003</v>
      </c>
      <c r="Q91">
        <f t="shared" si="28"/>
        <v>1.4999999999999999E-5</v>
      </c>
      <c r="R91">
        <v>22</v>
      </c>
      <c r="S91">
        <v>5.0000000000000001E-3</v>
      </c>
    </row>
    <row r="92" spans="13:19">
      <c r="M92">
        <f t="shared" si="29"/>
        <v>0.01</v>
      </c>
      <c r="N92">
        <v>5</v>
      </c>
      <c r="O92">
        <v>0.61499999999999999</v>
      </c>
      <c r="Q92">
        <f t="shared" si="28"/>
        <v>1.4999999999999999E-5</v>
      </c>
      <c r="R92">
        <v>30</v>
      </c>
      <c r="S92">
        <v>5.0000000000000001E-3</v>
      </c>
    </row>
    <row r="93" spans="13:19">
      <c r="M93">
        <f t="shared" si="29"/>
        <v>0.01</v>
      </c>
      <c r="N93">
        <v>10</v>
      </c>
      <c r="O93">
        <v>0.55200000000000005</v>
      </c>
      <c r="Q93">
        <f>0.075/10000</f>
        <v>7.4999999999999993E-6</v>
      </c>
      <c r="R93">
        <v>0</v>
      </c>
      <c r="S93">
        <v>8.9999999999999993E-3</v>
      </c>
    </row>
    <row r="94" spans="13:19">
      <c r="M94">
        <f t="shared" si="29"/>
        <v>0.01</v>
      </c>
      <c r="N94">
        <v>20</v>
      </c>
      <c r="O94">
        <v>0.375</v>
      </c>
      <c r="Q94">
        <f t="shared" ref="Q94:Q108" si="30">0.075/10000</f>
        <v>7.4999999999999993E-6</v>
      </c>
      <c r="R94">
        <v>0.5</v>
      </c>
      <c r="S94">
        <v>8.0000000000000002E-3</v>
      </c>
    </row>
    <row r="95" spans="13:19">
      <c r="M95">
        <f t="shared" si="29"/>
        <v>0.01</v>
      </c>
      <c r="N95">
        <v>40</v>
      </c>
      <c r="O95">
        <v>0.21099999999999999</v>
      </c>
      <c r="Q95">
        <f t="shared" si="30"/>
        <v>7.4999999999999993E-6</v>
      </c>
      <c r="R95">
        <v>1.5</v>
      </c>
      <c r="S95">
        <v>8.0000000000000002E-3</v>
      </c>
    </row>
    <row r="96" spans="13:19">
      <c r="M96">
        <f t="shared" si="29"/>
        <v>0.01</v>
      </c>
      <c r="N96">
        <v>60</v>
      </c>
      <c r="O96">
        <v>0.128</v>
      </c>
      <c r="Q96">
        <f t="shared" si="30"/>
        <v>7.4999999999999993E-6</v>
      </c>
      <c r="R96">
        <v>3</v>
      </c>
      <c r="S96">
        <v>8.0000000000000002E-3</v>
      </c>
    </row>
    <row r="97" spans="13:19">
      <c r="M97">
        <f t="shared" si="29"/>
        <v>0.01</v>
      </c>
      <c r="N97">
        <v>80</v>
      </c>
      <c r="O97">
        <v>7.4999999999999997E-2</v>
      </c>
      <c r="Q97">
        <f t="shared" si="30"/>
        <v>7.4999999999999993E-6</v>
      </c>
      <c r="R97">
        <v>5</v>
      </c>
      <c r="S97">
        <v>8.9999999999999993E-3</v>
      </c>
    </row>
    <row r="98" spans="13:19">
      <c r="M98">
        <f t="shared" si="29"/>
        <v>0.01</v>
      </c>
      <c r="N98">
        <v>100</v>
      </c>
      <c r="O98">
        <v>5.1999999999999998E-2</v>
      </c>
      <c r="Q98">
        <f t="shared" si="30"/>
        <v>7.4999999999999993E-6</v>
      </c>
      <c r="R98">
        <v>6</v>
      </c>
      <c r="S98">
        <v>8.0000000000000002E-3</v>
      </c>
    </row>
    <row r="99" spans="13:19">
      <c r="M99">
        <f t="shared" si="29"/>
        <v>0.01</v>
      </c>
      <c r="N99">
        <v>120</v>
      </c>
      <c r="O99">
        <v>0.02</v>
      </c>
      <c r="Q99">
        <f t="shared" si="30"/>
        <v>7.4999999999999993E-6</v>
      </c>
      <c r="R99">
        <v>8</v>
      </c>
      <c r="S99">
        <v>8.0000000000000002E-3</v>
      </c>
    </row>
    <row r="100" spans="13:19">
      <c r="Q100">
        <f t="shared" si="30"/>
        <v>7.4999999999999993E-6</v>
      </c>
      <c r="R100">
        <v>10</v>
      </c>
      <c r="S100">
        <v>7.0000000000000001E-3</v>
      </c>
    </row>
    <row r="101" spans="13:19">
      <c r="Q101">
        <f t="shared" si="30"/>
        <v>7.4999999999999993E-6</v>
      </c>
      <c r="R101">
        <v>12</v>
      </c>
      <c r="S101">
        <v>7.0000000000000001E-3</v>
      </c>
    </row>
    <row r="102" spans="13:19">
      <c r="Q102">
        <f t="shared" si="30"/>
        <v>7.4999999999999993E-6</v>
      </c>
      <c r="R102">
        <v>14</v>
      </c>
      <c r="S102">
        <v>7.0000000000000001E-3</v>
      </c>
    </row>
    <row r="103" spans="13:19">
      <c r="Q103">
        <f t="shared" si="30"/>
        <v>7.4999999999999993E-6</v>
      </c>
      <c r="R103">
        <v>16</v>
      </c>
      <c r="S103">
        <v>8.9999999999999993E-3</v>
      </c>
    </row>
    <row r="104" spans="13:19">
      <c r="Q104">
        <f t="shared" si="30"/>
        <v>7.4999999999999993E-6</v>
      </c>
      <c r="R104">
        <v>18</v>
      </c>
      <c r="S104">
        <v>7.0000000000000001E-3</v>
      </c>
    </row>
    <row r="105" spans="13:19">
      <c r="Q105">
        <f t="shared" si="30"/>
        <v>7.4999999999999993E-6</v>
      </c>
      <c r="R105">
        <v>20</v>
      </c>
      <c r="S105">
        <v>7.0000000000000001E-3</v>
      </c>
    </row>
    <row r="106" spans="13:19">
      <c r="Q106">
        <f t="shared" si="30"/>
        <v>7.4999999999999993E-6</v>
      </c>
      <c r="R106">
        <v>25</v>
      </c>
      <c r="S106">
        <v>7.0000000000000001E-3</v>
      </c>
    </row>
    <row r="107" spans="13:19">
      <c r="Q107">
        <f t="shared" si="30"/>
        <v>7.4999999999999993E-6</v>
      </c>
      <c r="R107">
        <v>30</v>
      </c>
      <c r="S107">
        <v>7.0000000000000001E-3</v>
      </c>
    </row>
    <row r="108" spans="13:19">
      <c r="Q108">
        <f t="shared" si="30"/>
        <v>7.4999999999999993E-6</v>
      </c>
      <c r="R108">
        <v>40</v>
      </c>
      <c r="S108">
        <v>7.0000000000000001E-3</v>
      </c>
    </row>
  </sheetData>
  <mergeCells count="24">
    <mergeCell ref="Y35:Z35"/>
    <mergeCell ref="Y37:Z37"/>
    <mergeCell ref="X33:X37"/>
    <mergeCell ref="Y32:Z32"/>
    <mergeCell ref="Y34:Z34"/>
    <mergeCell ref="X28:X32"/>
    <mergeCell ref="Y30:Z30"/>
    <mergeCell ref="Y24:Z24"/>
    <mergeCell ref="Y25:Z25"/>
    <mergeCell ref="Y27:Z27"/>
    <mergeCell ref="X23:X27"/>
    <mergeCell ref="Y29:Z29"/>
    <mergeCell ref="Y17:Z17"/>
    <mergeCell ref="X13:X17"/>
    <mergeCell ref="Y19:Z19"/>
    <mergeCell ref="Y20:Z20"/>
    <mergeCell ref="Y22:Z22"/>
    <mergeCell ref="X18:X22"/>
    <mergeCell ref="Y15:Z15"/>
    <mergeCell ref="Y9:Z9"/>
    <mergeCell ref="Y10:Z10"/>
    <mergeCell ref="Y12:Z12"/>
    <mergeCell ref="X8:X12"/>
    <mergeCell ref="Y14:Z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2022-01-10T21:37:59Z</dcterms:modified>
</cp:coreProperties>
</file>